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 cases" state="visible" r:id="rId4"/>
    <sheet sheetId="2" name="Quick stats" state="visible" r:id="rId5"/>
    <sheet sheetId="3" name="Original (her text)" state="visible" r:id="rId6"/>
  </sheets>
  <calcPr calcId="171027"/>
</workbook>
</file>

<file path=xl/sharedStrings.xml><?xml version="1.0" encoding="utf-8"?>
<sst xmlns="http://schemas.openxmlformats.org/spreadsheetml/2006/main" count="2476" uniqueCount="325">
  <si>
    <t>Patient</t>
  </si>
  <si>
    <t>Symptoms (model inputs)</t>
  </si>
  <si>
    <t>First-visit tests (model inputs)</t>
  </si>
  <si>
    <t>Confirmation tests – NOT model inputs</t>
  </si>
  <si>
    <t>Outcome</t>
  </si>
  <si>
    <t>Data check</t>
  </si>
  <si>
    <t>Case #</t>
  </si>
  <si>
    <t>Gender</t>
  </si>
  <si>
    <t>Age (years)</t>
  </si>
  <si>
    <t>Joint / back pain</t>
  </si>
  <si>
    <t>Night sweats</t>
  </si>
  <si>
    <t>Fever / fatigue</t>
  </si>
  <si>
    <t>Abdominal pain</t>
  </si>
  <si>
    <t>Chronic diarrhea</t>
  </si>
  <si>
    <t>Nausea / vomiting</t>
  </si>
  <si>
    <t>Weight loss</t>
  </si>
  <si>
    <t>Enlarged spleen</t>
  </si>
  <si>
    <t>Enlarged liver</t>
  </si>
  <si>
    <t>Jaundice</t>
  </si>
  <si>
    <t>Enlarged lymph nodes</t>
  </si>
  <si>
    <t>Blocked nose</t>
  </si>
  <si>
    <t>Dry cough</t>
  </si>
  <si>
    <t>Oral ulcers</t>
  </si>
  <si>
    <t>Nerve pain / numbness</t>
  </si>
  <si>
    <t>Shortness of breath</t>
  </si>
  <si>
    <t>Muscle pain</t>
  </si>
  <si>
    <t>Palpitations / heart block</t>
  </si>
  <si>
    <t>Skin lesions / itching</t>
  </si>
  <si>
    <t>Chest X-ray</t>
  </si>
  <si>
    <t>Imaging: enlarged chest lymph nodes</t>
  </si>
  <si>
    <t>Imaging: lung nodules / infiltrates</t>
  </si>
  <si>
    <t>ACE (U/L)</t>
  </si>
  <si>
    <t>ACE reported as</t>
  </si>
  <si>
    <t>CRP (mg/L)</t>
  </si>
  <si>
    <t>LDH (U/L)</t>
  </si>
  <si>
    <t>WBC (×10³/µL)</t>
  </si>
  <si>
    <t>Heart tests abnormal (ECG / echo / MRI)</t>
  </si>
  <si>
    <t>Liver tests abnormal</t>
  </si>
  <si>
    <t>TB test</t>
  </si>
  <si>
    <t>Biopsy site</t>
  </si>
  <si>
    <t>Biopsy result</t>
  </si>
  <si>
    <t>BALF CD4/CD8</t>
  </si>
  <si>
    <t>Final diagnosis</t>
  </si>
  <si>
    <t>Sarcoidosis?</t>
  </si>
  <si>
    <t>Diagnostic time (months)</t>
  </si>
  <si>
    <t>To check</t>
  </si>
  <si>
    <t>Male</t>
  </si>
  <si>
    <t>Not checked</t>
  </si>
  <si>
    <t>Yes</t>
  </si>
  <si>
    <t>No</t>
  </si>
  <si>
    <t>Not done</t>
  </si>
  <si>
    <t>Tularemia</t>
  </si>
  <si>
    <t>Looks like the same patient as case 29 (Tularemia, 56 M, 4 weeks) – merge or delete one</t>
  </si>
  <si>
    <t>Female</t>
  </si>
  <si>
    <t>Cat scratch disease</t>
  </si>
  <si>
    <t>Looks like the same patient as case 30 (Cat scratch, 55 F, 5 months) – merge or delete one</t>
  </si>
  <si>
    <t>Hodgkin’s lymphoma</t>
  </si>
  <si>
    <t>Biclonal Lymphoma</t>
  </si>
  <si>
    <t>Normal</t>
  </si>
  <si>
    <t>Positive</t>
  </si>
  <si>
    <t>Gingiva (oral)</t>
  </si>
  <si>
    <t>Non-caseating granuloma</t>
  </si>
  <si>
    <t>pulmonary tuberculosis</t>
  </si>
  <si>
    <t>Number given</t>
  </si>
  <si>
    <t>Negative</t>
  </si>
  <si>
    <t>Cervical + mediastinal lymph node</t>
  </si>
  <si>
    <t>Other finding</t>
  </si>
  <si>
    <t>CRP was a range (100–220); used 100</t>
  </si>
  <si>
    <t>Skin</t>
  </si>
  <si>
    <t>Early-Onset Sarcoidosis (EOS)</t>
  </si>
  <si>
    <t>Age 9 months = 0.75 years. WBC 15000 converted to 15.0 (×10³/µL)</t>
  </si>
  <si>
    <t>Kidney + spleen</t>
  </si>
  <si>
    <t>Whipple’s Disease</t>
  </si>
  <si>
    <t>Lymph node (EBUS)</t>
  </si>
  <si>
    <t>No granuloma</t>
  </si>
  <si>
    <t>Biventricular Arrhythmogenic Cardiomyopathy (AC)</t>
  </si>
  <si>
    <t>Genetic Dilated Cardiomyopathy</t>
  </si>
  <si>
    <t>Lymph node + iliac bone</t>
  </si>
  <si>
    <t>Multisystem Sarcoidosis with Axial Skeleton Involvement</t>
  </si>
  <si>
    <t>Skin (gluteal ulcer)</t>
  </si>
  <si>
    <t>Isolated Ulcerative Cutaneous Sarcoidosis</t>
  </si>
  <si>
    <t>Skin column was "No" but the disease is a skin ulcer – set to Yes. Please confirm</t>
  </si>
  <si>
    <t>Cardiac Sarcoidosis with Ulcerative Colitis</t>
  </si>
  <si>
    <t>Lymph node</t>
  </si>
  <si>
    <t>Cardiac Sarcoidosis</t>
  </si>
  <si>
    <t>Liver</t>
  </si>
  <si>
    <t>Inconclusive</t>
  </si>
  <si>
    <t>Hepatic Sarcoidosis</t>
  </si>
  <si>
    <t>Diagnostic time "not determined" – left empty. Biopsy inconclusive: how was it confirmed?</t>
  </si>
  <si>
    <t>Lung</t>
  </si>
  <si>
    <t>Pleuroparenchymal Sarcoidosis</t>
  </si>
  <si>
    <t>Diagnostic time "3 weeks after failed TB treatment" – how many months from first symptom?</t>
  </si>
  <si>
    <t>PPD-like Sarcoidosis</t>
  </si>
  <si>
    <t>Skin (tattoo)</t>
  </si>
  <si>
    <t>Tattoo Sarcoidosis with coexisting nonspecific myocarditis</t>
  </si>
  <si>
    <t>Tattoo skin lesions not marked in the skin column – set to Yes. Please confirm</t>
  </si>
  <si>
    <t>Pancreatic Sarcoidosis</t>
  </si>
  <si>
    <t>Porta hepatis node + bile duct</t>
  </si>
  <si>
    <t>Biliary Sarcoidosis</t>
  </si>
  <si>
    <t>Diagnostic time "several weeks" – need a number</t>
  </si>
  <si>
    <t>Nose</t>
  </si>
  <si>
    <t>Sinonasal Sarcoidosis</t>
  </si>
  <si>
    <t>Multisystem Sarcoidosis (Pulmonary, Hepatic, Osseous, Lymphatic, Adrenal)</t>
  </si>
  <si>
    <t>CRP written as -52 (negative is impossible) – removed, please check the value</t>
  </si>
  <si>
    <t>Skin (melanoma)</t>
  </si>
  <si>
    <t>Osseous Sarcoidosis of the fibula</t>
  </si>
  <si>
    <t>Age "80s" – used 85. Biopsy listed is melanoma; is there a bone biopsy that confirmed sarcoidosis?</t>
  </si>
  <si>
    <t>Skin + gum + lip</t>
  </si>
  <si>
    <t>Cutaneous and Oral Sarcoidosis</t>
  </si>
  <si>
    <t>Isolated Splenic Sarcoidosis</t>
  </si>
  <si>
    <t>Age "adult" and diagnostic time "not determined" – need numbers if available</t>
  </si>
  <si>
    <t>Bone marrow + tissue</t>
  </si>
  <si>
    <t>Granuloma (type not stated)</t>
  </si>
  <si>
    <t>Hepato-Splenic Sarcoidosis</t>
  </si>
  <si>
    <t>Pulmonary Sarcoidosis</t>
  </si>
  <si>
    <t>Age "30s" – used 35. 180 months is time on Infliximab, not diagnostic delay – need real delay</t>
  </si>
  <si>
    <t>Pancreas + lymph node</t>
  </si>
  <si>
    <t>Multisystem Sarcoidosis</t>
  </si>
  <si>
    <t>Already diagnosed 10 years earlier (relapse case) – used 4 months of current symptoms</t>
  </si>
  <si>
    <t>Possible duplicate of case 1</t>
  </si>
  <si>
    <t>Cat Scratch Disease</t>
  </si>
  <si>
    <t>Possible duplicate of case 2</t>
  </si>
  <si>
    <t>Symptom / finding</t>
  </si>
  <si>
    <t>Sarcoidosis: Yes</t>
  </si>
  <si>
    <t>Sarcoidosis: checked</t>
  </si>
  <si>
    <t>% in sarcoidosis</t>
  </si>
  <si>
    <t>Other diseases: Yes</t>
  </si>
  <si>
    <t>Other diseases: checked</t>
  </si>
  <si>
    <t>% in other diseases</t>
  </si>
  <si>
    <t>Total cases</t>
  </si>
  <si>
    <t>Sarcoidosis cases</t>
  </si>
  <si>
    <t>Other-disease cases</t>
  </si>
  <si>
    <t>Average age – sarcoidosis</t>
  </si>
  <si>
    <t>Females – sarcoidosis</t>
  </si>
  <si>
    <t>Males – sarcoidosis</t>
  </si>
  <si>
    <t>Average diagnostic time (months) – sarcoidosis</t>
  </si>
  <si>
    <t>Preliminary – updates automatically when the Clean cases sheet changes. "checked" = cases where the item was recorded (Yes or No).</t>
  </si>
  <si>
    <t xml:space="preserve">case </t>
  </si>
  <si>
    <t xml:space="preserve">gender </t>
  </si>
  <si>
    <t xml:space="preserve">age </t>
  </si>
  <si>
    <t>Diagnostic time</t>
  </si>
  <si>
    <t>diffuse joint pain , low back pain</t>
  </si>
  <si>
    <t xml:space="preserve"> night sweats</t>
  </si>
  <si>
    <t xml:space="preserve">fever nad extra fatigue </t>
  </si>
  <si>
    <t>Severe abdominal pain</t>
  </si>
  <si>
    <t xml:space="preserve">chronic diarrhea </t>
  </si>
  <si>
    <t xml:space="preserve"> nausea, vomiting</t>
  </si>
  <si>
    <t xml:space="preserve"> weight loss</t>
  </si>
  <si>
    <t>Splenomegaly (spleen enlargment )</t>
  </si>
  <si>
    <t xml:space="preserve">Hepatomegaly( lever enlargment) </t>
  </si>
  <si>
    <t>jaundice</t>
  </si>
  <si>
    <t>Lymphadenopathy (lymph enlargement )</t>
  </si>
  <si>
    <t>Sino-nasal obstruction(Blocked nose)</t>
  </si>
  <si>
    <t xml:space="preserve">dry cough </t>
  </si>
  <si>
    <t>Oral ulceration</t>
  </si>
  <si>
    <t>Diffuse polyneuropath</t>
  </si>
  <si>
    <t xml:space="preserve">Progressive dyspnea </t>
  </si>
  <si>
    <t>Diffuse myalgia</t>
  </si>
  <si>
    <t>Palpitations and advanced heart block</t>
  </si>
  <si>
    <t>Intense pruritus &amp; bullous skin lesions on extremities</t>
  </si>
  <si>
    <t>Granulomas</t>
  </si>
  <si>
    <t>Biopsy</t>
  </si>
  <si>
    <t>CT Scan</t>
  </si>
  <si>
    <t>PET Scan</t>
  </si>
  <si>
    <t xml:space="preserve">CRP </t>
  </si>
  <si>
    <t xml:space="preserve"> MRI</t>
  </si>
  <si>
    <t>TB GOLD TEST</t>
  </si>
  <si>
    <t>ACE</t>
  </si>
  <si>
    <t xml:space="preserve">BALF </t>
  </si>
  <si>
    <t xml:space="preserve">Lactate Dehydrogenase (LDH) </t>
  </si>
  <si>
    <t>Electroneuromyography (ENMG)</t>
  </si>
  <si>
    <t xml:space="preserve"> WBC</t>
  </si>
  <si>
    <t>Ophthalmologic Examination Result</t>
  </si>
  <si>
    <t>Tuberculin Skin Test (TST)1</t>
  </si>
  <si>
    <t>Suppressed PTH</t>
  </si>
  <si>
    <t xml:space="preserve"> Electrocardiogram (ECG) Result</t>
  </si>
  <si>
    <t xml:space="preserve"> Endoscopy</t>
  </si>
  <si>
    <t>Transthoracic &amp; Transesophageal Echocardiography</t>
  </si>
  <si>
    <t xml:space="preserve">Cardiac Biomarkers </t>
  </si>
  <si>
    <t>Echocardiogram Result</t>
  </si>
  <si>
    <t>Cardiac Magnetic Resonance (CMR)</t>
  </si>
  <si>
    <t xml:space="preserve">Liver Function Tests </t>
  </si>
  <si>
    <t>CSF Analysis</t>
  </si>
  <si>
    <t xml:space="preserve">final confirmed </t>
  </si>
  <si>
    <t>name of the confirmed disease</t>
  </si>
  <si>
    <t xml:space="preserve">Male </t>
  </si>
  <si>
    <t xml:space="preserve">4 weeks </t>
  </si>
  <si>
    <t xml:space="preserve">not checked </t>
  </si>
  <si>
    <t xml:space="preserve">Yes </t>
  </si>
  <si>
    <t xml:space="preserve">Not Checked </t>
  </si>
  <si>
    <t xml:space="preserve">No </t>
  </si>
  <si>
    <t xml:space="preserve">no </t>
  </si>
  <si>
    <t xml:space="preserve">Not checkhed </t>
  </si>
  <si>
    <t>not checked</t>
  </si>
  <si>
    <t xml:space="preserve">not confirmed </t>
  </si>
  <si>
    <t xml:space="preserve">Female </t>
  </si>
  <si>
    <t xml:space="preserve">5 month </t>
  </si>
  <si>
    <t xml:space="preserve">24 month </t>
  </si>
  <si>
    <t xml:space="preserve">72 months </t>
  </si>
  <si>
    <t xml:space="preserve"> 8 to 12 months</t>
  </si>
  <si>
    <t xml:space="preserve">yes </t>
  </si>
  <si>
    <t>ithout granuloma</t>
  </si>
  <si>
    <t>first :finding giant-cell granuloma(oral), second:non-necrotizing giant-cell granuloma</t>
  </si>
  <si>
    <t>interstitial lung disease, Diffuse micronodules, Retractive consolidations, Traction bronchiectasis, No mediastino-hilar adenopathy</t>
  </si>
  <si>
    <t xml:space="preserve"> (Jaw)Left mandibular lesion extending to cheek, with numerous enlarged lymph nodes.</t>
  </si>
  <si>
    <t>Positive (5.66</t>
  </si>
  <si>
    <t>Positive for Mycobacterium tuberculosis</t>
  </si>
  <si>
    <t xml:space="preserve">2 months </t>
  </si>
  <si>
    <t>No evidence of hemopathy (from spinal cord )</t>
  </si>
  <si>
    <t>Cervical Lymph Node Biopsy(Pyoepithelioid inflammation with partial necrosis و  and histiocytes, without giant cells; negative universal PCR and specific cultures),Hodgkin’s disease of scleronodular subtype</t>
  </si>
  <si>
    <t xml:space="preserve"> Multiple mediastinal adenopathies (largest in Barety's space measuring 23 mm), cervical adenopathies, and aspecific pulmonary micronodules</t>
  </si>
  <si>
    <t>100–220</t>
  </si>
  <si>
    <t>(Brain ) Unremarkable</t>
  </si>
  <si>
    <t>Negative for Mtb,90% (Lymphocytic Alveolitis), CD4/CD8=1.27</t>
  </si>
  <si>
    <t xml:space="preserve">normal </t>
  </si>
  <si>
    <t>Diffuse axonal polyneuropathy</t>
  </si>
  <si>
    <t>Mild hyperproteinorachia (0.7 )</t>
  </si>
  <si>
    <t>9 months</t>
  </si>
  <si>
    <t>8 months</t>
  </si>
  <si>
    <t>Erythema nodosum on the right flexor forearm (appeared at 1 year of age)</t>
  </si>
  <si>
    <t>non-caseating granulomas</t>
  </si>
  <si>
    <t xml:space="preserve">normal chest </t>
  </si>
  <si>
    <t>14.2 (Normal)</t>
  </si>
  <si>
    <t xml:space="preserve">negative </t>
  </si>
  <si>
    <t xml:space="preserve">confirmed sarcoidosis </t>
  </si>
  <si>
    <t>5 years</t>
  </si>
  <si>
    <t>Non-caseating granulomas</t>
  </si>
  <si>
    <t>Renal Biopsy( Diffuse acute granulomatous interstitial nephritis),Splenic Biopsy (Non-caseating granulomas)</t>
  </si>
  <si>
    <t>Mildly enlarged mediastinal lymph nodes bilaterally; no significant lung parenchymal lesions</t>
  </si>
  <si>
    <t>Increased FDG avidity in the spleen and large intestine ,  2nd Repeat PET Scan (after immunosuppression failure) Result: Intense FDG avidity in loops of small and large intestines</t>
  </si>
  <si>
    <t>not checked not checked</t>
  </si>
  <si>
    <t xml:space="preserve">1 month </t>
  </si>
  <si>
    <t>Lymph Node Biopsy (EBUS-guided) Result: Negative for granulomatous disease or sarcoidosis</t>
  </si>
  <si>
    <t>Significantly increased FDG uptake in RV wall and LV, plus focal extracardiac FDG uptake in a paratracheal lymph node (mimicking Cardiac Sarcoidosis)</t>
  </si>
  <si>
    <t>First-degree AV block, high-degree AV block, and morphologically distinct premature ventricular contractions (PVCs)</t>
  </si>
  <si>
    <t>First-degree AV block, T-wave inversions in leads V1–V3, fragmented QRS (epsilon waves) in leads V2–V3, and atrial flutter</t>
  </si>
  <si>
    <t>evere dilation and markedly reduced systolic function of the right ventricle (RV), severe tricuspid regurgitation, normal interatrial septum</t>
  </si>
  <si>
    <t>Biventricular involvement (RV EF: 26%, LV EF: 44%), focal RV free wall dyskinesia, extensive epicardial and midmyocardial late gadolinium enhancement (LGE)</t>
  </si>
  <si>
    <t xml:space="preserve"> Biventricular Arrhythmogenic Cardiomyopathy (AC) </t>
  </si>
  <si>
    <t xml:space="preserve">2 years </t>
  </si>
  <si>
    <t>Focal FDG uptake in the ventricular septum (mimicking Cardiac Sarcoidosis)</t>
  </si>
  <si>
    <t>Initial ECG (Age 48) Result: First-degree AV block, high-degree AV block, and morphologically distinct premature ventricular contractions (PVCs)</t>
  </si>
  <si>
    <t>Reduced LVEF (38%), hypokinesis of septal and posterior LV walls</t>
  </si>
  <si>
    <t>Linear mid-wall late gadolinium enhancement (LGE) in the septum, with high T2 signal indicating myocardial inflammation</t>
  </si>
  <si>
    <t xml:space="preserve">Genetic Dilated Cardiomyopathy </t>
  </si>
  <si>
    <t xml:space="preserve">6 months </t>
  </si>
  <si>
    <t>Lymph Node &amp; Iliac Bone Biopsies Result: Non-caseating granulomatous inflammation without malignancy</t>
  </si>
  <si>
    <t>Hypermetabolic pulmonary nodules (right upper lobe), bilateral hilar, mediastinal, and supraclavicular lymphadenopathy, plus focal uptake in right iliac bone, sacrum, and L4 vertebra (mimicking metastatic cancer)</t>
  </si>
  <si>
    <t>Multisystem Sarcoidosis with Axial Skeleton Involvement.</t>
  </si>
  <si>
    <t xml:space="preserve">8 weeks </t>
  </si>
  <si>
    <t>Biopsy of Gluteal Ulcer Result: Non-necrotizing granuloma with granulation tissue fibrosis</t>
  </si>
  <si>
    <t>Chest CT &amp; Bloods (negative for systemic organ involvement)</t>
  </si>
  <si>
    <t>Isolated Ulcerative Cutaneous Sarcoidosis.</t>
  </si>
  <si>
    <t>13 years</t>
  </si>
  <si>
    <t>Lymph Node Biopsy (EBUS-TBNA) Result: Non-caseating epithelioid cell granulomas</t>
  </si>
  <si>
    <t>Abnormal intense FDG accumulation in cardiac myocardium and hilar lymph node</t>
  </si>
  <si>
    <t>Thinning of mid-anteroseptal and basal inferior LV walls</t>
  </si>
  <si>
    <t>Elevated (NT-proBNP: 357 pg/mL, BNP: 88.4 pg/mL)</t>
  </si>
  <si>
    <t>Cardiac Sarcoidosis with Ulcerative Colitis.</t>
  </si>
  <si>
    <t xml:space="preserve">3years </t>
  </si>
  <si>
    <t>Lymph Node Biopsy (Non-caseating granulomas)</t>
  </si>
  <si>
    <t xml:space="preserve">Negative in heart </t>
  </si>
  <si>
    <t>(cardiac )Severe RV dilation &amp; dysfunction (RVEF: 14%), LVEF: 43%, late gadolinium enhancement in anteroseptal LV and RV</t>
  </si>
  <si>
    <t>CD4/CD8 ratio elevated at 9.04</t>
  </si>
  <si>
    <t>entricular tachycardia, epsilon waves in V1–V2, T-wave inversions V1–V6, PR interval 210–230 ms</t>
  </si>
  <si>
    <t xml:space="preserve">Cardiac Sarcoidosis </t>
  </si>
  <si>
    <t>not determined</t>
  </si>
  <si>
    <t>Liver Biopsy (Inconclusive (interface hepatitis, no definite granulomas)</t>
  </si>
  <si>
    <t>3 weeks after failed anti-tuberculosis therapy</t>
  </si>
  <si>
    <t>Lung Biopsies: Non-caseating granulomatous inflammation with surrounding concentric fibrosis; negative for mycobacteria and fungi</t>
  </si>
  <si>
    <t>Highly FDG-avid right lung masses, pericardial nodules, and left pleural lesions</t>
  </si>
  <si>
    <t>12 months</t>
  </si>
  <si>
    <t>Skin Biopsy (Right shoulder lesion) : Dermatofibroma with associated sarcoidal granulomas</t>
  </si>
  <si>
    <t>(PPD-like Sarcoidosis)</t>
  </si>
  <si>
    <t xml:space="preserve">Not checked </t>
  </si>
  <si>
    <t>Skin Biopsy (Tattoo lines) : Non-caseating granulomas suggestive of sarcoidosis</t>
  </si>
  <si>
    <t>Cardiac MRI : Small focus of transmural enhancement in the mid-ventricular anterolateral segment</t>
  </si>
  <si>
    <t>normal</t>
  </si>
  <si>
    <t>No evidence of hilar or mediastinal lymphadenopathy</t>
  </si>
  <si>
    <t>oderately reduced left ventricular systolic function (LVEF: 40%</t>
  </si>
  <si>
    <t>5 months</t>
  </si>
  <si>
    <t>Lymph Node Biopsy:Scattered nodular elevations in trachea/bronchi; EBUS-guided needle aspiration showed non-caseating epithelioid granulomas</t>
  </si>
  <si>
    <t>Scattered nodules in both lungs with atelectasis; enlarged retroperitoneal and mediastinal lymph nodes (groups 4R and 7); and a space-occupying mass in the head of the pancreas</t>
  </si>
  <si>
    <t xml:space="preserve">several weeks </t>
  </si>
  <si>
    <t>Biopsy Result: Multiple enlarged lymph nodes in porta hepatis (largest 28x26 mm);  Fine Needle Biopsy: Porta hepatis lymph node biopsy confirmed sarcoid-like granulomas, Targeted Biopsy Result: Abnormal mucosa with irregularity and nodularity; targeted biopsy demonstrated reactive ductal epithelial cells with non-caseating granulomas</t>
  </si>
  <si>
    <t>Moderate central intrahepatic biliary ductal dilatation with compression of common hepatic duct by enlarged porta hepatis lymph nodes; enlarged retroperitoneal/para-aortic nodes; scattered calcified lesions in liver and spleen</t>
  </si>
  <si>
    <t>Total bilirubin 8.4 mg/dL, conjugated bilirubin 7.5 mg/dL, ALP 606 IU/L, AST 107 IU/L, ALT 189 IU/L</t>
  </si>
  <si>
    <t>Nasal Tissue Biopsy:Non-necrotizing granulomas with classic multinucleated histiocytes on right septum and left inferior turbinate, consistent with sarcoidosis</t>
  </si>
  <si>
    <t>Nasal Endoscopy :1 cm firm, highly vascular nasal lesion causing complete right-sided obstruction, with bilateral inferior turbinate enlargement.</t>
  </si>
  <si>
    <t>Liver Needle Core Biopsy :Liver almost entirely replaced by non-caseating granulomas with giant cells; PAS, GMS, and AFB negative.</t>
  </si>
  <si>
    <t>Multisite lymphadenopathy ,Left adrenal thickening ,Widespread lytic bone lesions ,Chest CT Scan (without contrast) Result: Diffuse 5 mm pulmonary nodular pattern compatible with sarcoidosis</t>
  </si>
  <si>
    <t>Pulmonary nodules and liver lesions</t>
  </si>
  <si>
    <t>Lumbar Spine MRI :Diffuse metastatic osteolytic bone lesions in lumbar and dorsal spine with L5-S1 disc impingement on S1 nerve root</t>
  </si>
  <si>
    <t>level (102.2 )</t>
  </si>
  <si>
    <t xml:space="preserve">Multisystem Sarcoidosis (Pulmonary, Hepatic, Osseous, Lymphatic, Adrenal) </t>
  </si>
  <si>
    <t>80s</t>
  </si>
  <si>
    <t>Skin Biopsy:Malignant melanoma (Breslow thickness 5.1 mm, pT4aN0M0); negative sentinel lymph node biopsy</t>
  </si>
  <si>
    <t>Lytic lesion in the left fibular head</t>
  </si>
  <si>
    <t>FDG-avid lesion</t>
  </si>
  <si>
    <t xml:space="preserve">1year </t>
  </si>
  <si>
    <t>Biopsies (Skin, Gingiva, &amp; Labial Mucosa) Result: Non-caseating granulomas in dermis and lamina propria</t>
  </si>
  <si>
    <t>Normal chest, jaws, GI, and cardiovascular system</t>
  </si>
  <si>
    <t xml:space="preserve">Cutaneous and Oral Sarcoidosis </t>
  </si>
  <si>
    <t xml:space="preserve">adult </t>
  </si>
  <si>
    <t>Enlarged spleen with a hypoechoic nodule.</t>
  </si>
  <si>
    <t>Heterogeneous enlarged spleen</t>
  </si>
  <si>
    <t>Isolated Splenic Sarcoidosis.</t>
  </si>
  <si>
    <t xml:space="preserve">2months </t>
  </si>
  <si>
    <t>Bone Marrow Biopsy Result: Negative for neoplasia, primary tumor, or infection , Tissue Histology Result: Confirmed chronic granulomatous lesions</t>
  </si>
  <si>
    <t xml:space="preserve"> chest :Negative for neoplasia, primary tumor, or infection.</t>
  </si>
  <si>
    <t xml:space="preserve">Hepato-Splenic Sarcoidosis </t>
  </si>
  <si>
    <t>30s</t>
  </si>
  <si>
    <t>180 months (15 years of long-term Infliximab therapy for Crohn's disease)</t>
  </si>
  <si>
    <t xml:space="preserve">Asymptomatic </t>
  </si>
  <si>
    <t>Lung  Biopsy : Non-caseating granulomatous lesions with no malignant findings , Biopsies: Non-</t>
  </si>
  <si>
    <t>chest:Multiple nodular lung lesions with mediastinal and hilar lymphadenopathies</t>
  </si>
  <si>
    <t>Upper GI Radiographs Endoscopy : Extrinsic compression and circumferential narrowing of 2nd and 4th portions of duodenum</t>
  </si>
  <si>
    <t xml:space="preserve">Pulmonary Sarcoidosis </t>
  </si>
  <si>
    <t>10 years after initial systemic sarcoidosis diagnosis; 4 months of recurrent obstructive symptoms</t>
  </si>
  <si>
    <t>not chronic diarrhea just dark urine</t>
  </si>
  <si>
    <t xml:space="preserve"> Head of Pancreas Biopsy: Inflammatory, firm, and bound down tissue. ,Peripancreatic Lymph Node Biopsy: Non-caseating granulomas with chronic pancreatitis</t>
  </si>
  <si>
    <t xml:space="preserve">Multisystem Sarcoidosis </t>
  </si>
  <si>
    <t>chest: Mediastinal lymph nodes and multiple excavated parenchymal condensations</t>
  </si>
  <si>
    <t xml:space="preserve">Tularemia </t>
  </si>
  <si>
    <t xml:space="preserve"> Isolated necrotic left supraclavicular lymph node with heterogeneous hepatomegaly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</si>
</sst>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1"/>
      <name val="Arial"/>
    </font>
    <font>
      <b/>
      <sz val="9"/>
      <name val="Arial"/>
    </font>
    <font>
      <sz val="9"/>
      <name val="Arial"/>
    </font>
    <font>
      <sz val="10"/>
      <name val="Arial"/>
    </font>
    <font>
      <b/>
      <sz val="10"/>
      <name val="Arial"/>
    </font>
    <font>
      <i/>
      <color rgb="FF808080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F4B6B6"/>
      </patternFill>
    </fill>
    <fill>
      <patternFill patternType="solid">
        <fgColor rgb="FF9DC3E6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bottom"/>
    </xf>
    <xf numFmtId="0" fontId="1" fillId="3" borderId="1" xfId="0" applyFont="1" applyFill="1" applyBorder="1" applyAlignment="1">
      <alignment horizontal="center" vertical="bottom"/>
    </xf>
    <xf numFmtId="0" fontId="1" fillId="4" borderId="1" xfId="0" applyFont="1" applyFill="1" applyBorder="1" applyAlignment="1">
      <alignment horizontal="center" vertical="bottom"/>
    </xf>
    <xf numFmtId="0" fontId="1" fillId="5" borderId="1" xfId="0" applyFont="1" applyFill="1" applyBorder="1" applyAlignment="1">
      <alignment horizontal="center" vertical="bottom"/>
    </xf>
    <xf numFmtId="0" fontId="1" fillId="6" borderId="1" xfId="0" applyFont="1" applyFill="1" applyBorder="1" applyAlignment="1">
      <alignment horizontal="center" vertical="bottom"/>
    </xf>
    <xf numFmtId="0" fontId="1" fillId="7" borderId="1" xfId="0" applyFont="1" applyFill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bottom"/>
    </xf>
    <xf numFmtId="0" fontId="3" fillId="8" borderId="1" xfId="0" applyFont="1" applyFill="1" applyBorder="1" applyAlignment="1">
      <alignment vertical="bottom"/>
    </xf>
    <xf numFmtId="0" fontId="3" fillId="9" borderId="1" xfId="0" applyFont="1" applyFill="1" applyBorder="1" applyAlignment="1">
      <alignment vertical="bottom" wrapText="1"/>
    </xf>
    <xf numFmtId="0" fontId="3" fillId="0" borderId="1" xfId="0" applyFont="1" applyBorder="1" applyAlignment="1">
      <alignment vertical="bottom" wrapText="1"/>
    </xf>
    <xf numFmtId="0" fontId="1" fillId="2" borderId="0" xfId="0" applyFont="1" applyFill="1" applyAlignment="1">
      <alignment vertical="bottom" wrapText="1"/>
    </xf>
    <xf numFmtId="0" fontId="4" fillId="0" borderId="0" xfId="0" applyFont="1" applyAlignment="1">
      <alignment vertical="bottom"/>
    </xf>
    <xf numFmtId="10" fontId="4" fillId="0" borderId="0" xfId="0" applyNumberFormat="1" applyFont="1" applyAlignment="1">
      <alignment vertical="bottom"/>
    </xf>
    <xf numFmtId="0" fontId="5" fillId="0" borderId="0" xfId="0" applyFont="1" applyAlignment="1">
      <alignment vertical="bottom"/>
    </xf>
    <xf numFmtId="2" fontId="4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2" width="9.285714285714286" customWidth="1"/>
    <col min="3" max="3" width="13.857142857142858" customWidth="1"/>
    <col min="4" max="4" width="17.428571428571427" customWidth="1"/>
    <col min="5" max="5" width="17.857142857142858" customWidth="1"/>
    <col min="6" max="6" width="15.142857142857142" customWidth="1"/>
    <col min="7" max="7" width="17.142857142857142" customWidth="1"/>
    <col min="8" max="8" width="18.285714285714285" customWidth="1"/>
    <col min="9" max="9" width="18.428571428571427" customWidth="1"/>
    <col min="10" max="10" width="12.428571428571429" customWidth="1"/>
    <col min="11" max="11" width="18" customWidth="1"/>
    <col min="12" max="12" width="15.285714285714286" customWidth="1"/>
    <col min="13" max="13" width="11" customWidth="1"/>
    <col min="14" max="14" width="24" customWidth="1"/>
    <col min="15" max="15" width="20.428571428571427" customWidth="1"/>
    <col min="16" max="16" width="13.142857142857142" customWidth="1"/>
    <col min="17" max="17" width="13.428571428571429" customWidth="1"/>
    <col min="18" max="18" width="31.857142857142858" customWidth="1"/>
    <col min="19" max="19" width="19" customWidth="1"/>
    <col min="20" max="20" width="20.428571428571427" customWidth="1"/>
    <col min="21" max="21" width="23.571428571428573" customWidth="1"/>
    <col min="22" max="22" width="23.142857142857142" customWidth="1"/>
    <col min="23" max="23" width="14.571428571428571" customWidth="1"/>
    <col min="24" max="24" width="34.57142857142857" customWidth="1"/>
    <col min="25" max="25" width="32.285714285714285" customWidth="1"/>
    <col min="26" max="26" width="11" customWidth="1"/>
    <col min="27" max="27" width="19.142857142857142" customWidth="1"/>
    <col min="28" max="28" width="16.285714285714285" customWidth="1"/>
    <col min="29" max="29" width="14.428571428571429" customWidth="1"/>
    <col min="30" max="30" width="13.857142857142858" customWidth="1"/>
    <col min="31" max="31" width="39.857142857142854" customWidth="1"/>
    <col min="32" max="32" width="22.142857142857142" customWidth="1"/>
    <col min="33" max="33" width="11" customWidth="1"/>
    <col min="34" max="35" width="22" customWidth="1"/>
    <col min="36" max="36" width="15.285714285714286" customWidth="1"/>
    <col min="37" max="37" width="34" customWidth="1"/>
    <col min="38" max="38" width="14.857142857142858" customWidth="1"/>
    <col min="39" max="39" width="26.857142857142858" customWidth="1"/>
    <col min="40" max="40" width="114.14285714285714" customWidth="1"/>
    <col min="41" max="80" width="13.571428571428571" customWidth="1"/>
  </cols>
  <sheetData>
    <row r="1" ht="15" customHeight="1" spans="1:40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3"/>
      <c r="Y1" s="3"/>
      <c r="Z1" s="3"/>
      <c r="AA1" s="3"/>
      <c r="AB1" s="3"/>
      <c r="AC1" s="3"/>
      <c r="AD1" s="3"/>
      <c r="AE1" s="3"/>
      <c r="AF1" s="3"/>
      <c r="AG1" s="4" t="s">
        <v>3</v>
      </c>
      <c r="AH1" s="4"/>
      <c r="AI1" s="4"/>
      <c r="AJ1" s="4"/>
      <c r="AK1" s="5" t="s">
        <v>4</v>
      </c>
      <c r="AL1" s="5"/>
      <c r="AM1" s="5"/>
      <c r="AN1" s="6" t="s">
        <v>5</v>
      </c>
    </row>
    <row r="2" ht="57.75" customHeight="1" spans="1:40" x14ac:dyDescent="0.25">
      <c r="A2" s="7" t="s">
        <v>6</v>
      </c>
      <c r="B2" s="7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9" t="s">
        <v>28</v>
      </c>
      <c r="X2" s="9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10" t="s">
        <v>38</v>
      </c>
      <c r="AH2" s="10" t="s">
        <v>39</v>
      </c>
      <c r="AI2" s="10" t="s">
        <v>40</v>
      </c>
      <c r="AJ2" s="10" t="s">
        <v>41</v>
      </c>
      <c r="AK2" s="11" t="s">
        <v>42</v>
      </c>
      <c r="AL2" s="11" t="s">
        <v>43</v>
      </c>
      <c r="AM2" s="11" t="s">
        <v>44</v>
      </c>
      <c r="AN2" s="12" t="s">
        <v>45</v>
      </c>
    </row>
    <row r="3" spans="1:40" x14ac:dyDescent="0.25">
      <c r="A3" s="13">
        <v>1</v>
      </c>
      <c r="B3" s="13" t="s">
        <v>46</v>
      </c>
      <c r="C3" s="13">
        <v>56</v>
      </c>
      <c r="D3" s="13" t="s">
        <v>47</v>
      </c>
      <c r="E3" s="13" t="s">
        <v>47</v>
      </c>
      <c r="F3" s="14" t="s">
        <v>48</v>
      </c>
      <c r="G3" s="13" t="s">
        <v>47</v>
      </c>
      <c r="H3" s="13" t="s">
        <v>47</v>
      </c>
      <c r="I3" s="13" t="s">
        <v>47</v>
      </c>
      <c r="J3" s="13" t="s">
        <v>47</v>
      </c>
      <c r="K3" s="13" t="s">
        <v>47</v>
      </c>
      <c r="L3" s="13" t="s">
        <v>47</v>
      </c>
      <c r="M3" s="13" t="s">
        <v>47</v>
      </c>
      <c r="N3" s="13" t="s">
        <v>49</v>
      </c>
      <c r="O3" s="13" t="s">
        <v>47</v>
      </c>
      <c r="P3" s="13" t="s">
        <v>49</v>
      </c>
      <c r="Q3" s="13" t="s">
        <v>49</v>
      </c>
      <c r="R3" s="13" t="s">
        <v>47</v>
      </c>
      <c r="S3" s="13" t="s">
        <v>47</v>
      </c>
      <c r="T3" s="13" t="s">
        <v>47</v>
      </c>
      <c r="U3" s="13" t="s">
        <v>47</v>
      </c>
      <c r="V3" s="13" t="s">
        <v>47</v>
      </c>
      <c r="W3" s="13" t="s">
        <v>50</v>
      </c>
      <c r="X3" s="13" t="s">
        <v>47</v>
      </c>
      <c r="Y3" s="13" t="s">
        <v>47</v>
      </c>
      <c r="Z3" s="13"/>
      <c r="AA3" s="13" t="s">
        <v>50</v>
      </c>
      <c r="AB3" s="13"/>
      <c r="AC3" s="13"/>
      <c r="AD3" s="13"/>
      <c r="AE3" s="13" t="s">
        <v>47</v>
      </c>
      <c r="AF3" s="13" t="s">
        <v>47</v>
      </c>
      <c r="AG3" s="13" t="s">
        <v>50</v>
      </c>
      <c r="AH3" s="13"/>
      <c r="AI3" s="13" t="s">
        <v>50</v>
      </c>
      <c r="AJ3" s="13"/>
      <c r="AK3" s="13" t="s">
        <v>51</v>
      </c>
      <c r="AL3" s="13" t="s">
        <v>49</v>
      </c>
      <c r="AM3" s="13">
        <v>1</v>
      </c>
      <c r="AN3" s="15" t="s">
        <v>52</v>
      </c>
    </row>
    <row r="4" spans="1:40" x14ac:dyDescent="0.25">
      <c r="A4" s="13">
        <v>2</v>
      </c>
      <c r="B4" s="13" t="s">
        <v>53</v>
      </c>
      <c r="C4" s="13">
        <v>55</v>
      </c>
      <c r="D4" s="13" t="s">
        <v>47</v>
      </c>
      <c r="E4" s="13" t="s">
        <v>47</v>
      </c>
      <c r="F4" s="14" t="s">
        <v>48</v>
      </c>
      <c r="G4" s="13" t="s">
        <v>47</v>
      </c>
      <c r="H4" s="13" t="s">
        <v>47</v>
      </c>
      <c r="I4" s="13" t="s">
        <v>47</v>
      </c>
      <c r="J4" s="13" t="s">
        <v>47</v>
      </c>
      <c r="K4" s="13" t="s">
        <v>47</v>
      </c>
      <c r="L4" s="14" t="s">
        <v>48</v>
      </c>
      <c r="M4" s="13" t="s">
        <v>47</v>
      </c>
      <c r="N4" s="13" t="s">
        <v>49</v>
      </c>
      <c r="O4" s="13" t="s">
        <v>47</v>
      </c>
      <c r="P4" s="13" t="s">
        <v>49</v>
      </c>
      <c r="Q4" s="13" t="s">
        <v>49</v>
      </c>
      <c r="R4" s="13" t="s">
        <v>47</v>
      </c>
      <c r="S4" s="13" t="s">
        <v>47</v>
      </c>
      <c r="T4" s="13" t="s">
        <v>47</v>
      </c>
      <c r="U4" s="13" t="s">
        <v>47</v>
      </c>
      <c r="V4" s="13" t="s">
        <v>47</v>
      </c>
      <c r="W4" s="13" t="s">
        <v>50</v>
      </c>
      <c r="X4" s="13" t="s">
        <v>47</v>
      </c>
      <c r="Y4" s="13" t="s">
        <v>47</v>
      </c>
      <c r="Z4" s="13"/>
      <c r="AA4" s="13" t="s">
        <v>50</v>
      </c>
      <c r="AB4" s="13"/>
      <c r="AC4" s="13"/>
      <c r="AD4" s="13"/>
      <c r="AE4" s="13" t="s">
        <v>47</v>
      </c>
      <c r="AF4" s="13" t="s">
        <v>47</v>
      </c>
      <c r="AG4" s="13" t="s">
        <v>50</v>
      </c>
      <c r="AH4" s="13"/>
      <c r="AI4" s="13" t="s">
        <v>50</v>
      </c>
      <c r="AJ4" s="13"/>
      <c r="AK4" s="13" t="s">
        <v>54</v>
      </c>
      <c r="AL4" s="13" t="s">
        <v>49</v>
      </c>
      <c r="AM4" s="13">
        <v>5</v>
      </c>
      <c r="AN4" s="15" t="s">
        <v>55</v>
      </c>
    </row>
    <row r="5" ht="15" customHeight="1" spans="1:40" x14ac:dyDescent="0.25">
      <c r="A5" s="13">
        <v>3</v>
      </c>
      <c r="B5" s="13" t="s">
        <v>46</v>
      </c>
      <c r="C5" s="13">
        <v>45</v>
      </c>
      <c r="D5" s="13" t="s">
        <v>47</v>
      </c>
      <c r="E5" s="13" t="s">
        <v>47</v>
      </c>
      <c r="F5" s="14" t="s">
        <v>48</v>
      </c>
      <c r="G5" s="13" t="s">
        <v>47</v>
      </c>
      <c r="H5" s="13" t="s">
        <v>47</v>
      </c>
      <c r="I5" s="13" t="s">
        <v>47</v>
      </c>
      <c r="J5" s="14" t="s">
        <v>48</v>
      </c>
      <c r="K5" s="13" t="s">
        <v>47</v>
      </c>
      <c r="L5" s="13" t="s">
        <v>49</v>
      </c>
      <c r="M5" s="13" t="s">
        <v>47</v>
      </c>
      <c r="N5" s="14" t="s">
        <v>48</v>
      </c>
      <c r="O5" s="14" t="s">
        <v>48</v>
      </c>
      <c r="P5" s="13" t="s">
        <v>49</v>
      </c>
      <c r="Q5" s="13" t="s">
        <v>49</v>
      </c>
      <c r="R5" s="13" t="s">
        <v>47</v>
      </c>
      <c r="S5" s="13" t="s">
        <v>47</v>
      </c>
      <c r="T5" s="13" t="s">
        <v>47</v>
      </c>
      <c r="U5" s="13" t="s">
        <v>47</v>
      </c>
      <c r="V5" s="13" t="s">
        <v>47</v>
      </c>
      <c r="W5" s="13" t="s">
        <v>50</v>
      </c>
      <c r="X5" s="13" t="s">
        <v>47</v>
      </c>
      <c r="Y5" s="13" t="s">
        <v>47</v>
      </c>
      <c r="Z5" s="13"/>
      <c r="AA5" s="13" t="s">
        <v>50</v>
      </c>
      <c r="AB5" s="13"/>
      <c r="AC5" s="13"/>
      <c r="AD5" s="13"/>
      <c r="AE5" s="13" t="s">
        <v>47</v>
      </c>
      <c r="AF5" s="13" t="s">
        <v>47</v>
      </c>
      <c r="AG5" s="13" t="s">
        <v>50</v>
      </c>
      <c r="AH5" s="13"/>
      <c r="AI5" s="13" t="s">
        <v>50</v>
      </c>
      <c r="AJ5" s="13"/>
      <c r="AK5" s="13" t="s">
        <v>56</v>
      </c>
      <c r="AL5" s="13" t="s">
        <v>49</v>
      </c>
      <c r="AM5" s="13">
        <v>24</v>
      </c>
      <c r="AN5" s="16"/>
    </row>
    <row r="6" ht="15" customHeight="1" spans="1:40" x14ac:dyDescent="0.25">
      <c r="A6" s="13">
        <v>4</v>
      </c>
      <c r="B6" s="13" t="s">
        <v>53</v>
      </c>
      <c r="C6" s="13">
        <v>56</v>
      </c>
      <c r="D6" s="13" t="s">
        <v>47</v>
      </c>
      <c r="E6" s="13" t="s">
        <v>47</v>
      </c>
      <c r="F6" s="14" t="s">
        <v>48</v>
      </c>
      <c r="G6" s="13" t="s">
        <v>47</v>
      </c>
      <c r="H6" s="13" t="s">
        <v>47</v>
      </c>
      <c r="I6" s="13" t="s">
        <v>47</v>
      </c>
      <c r="J6" s="13" t="s">
        <v>47</v>
      </c>
      <c r="K6" s="13" t="s">
        <v>47</v>
      </c>
      <c r="L6" s="13" t="s">
        <v>49</v>
      </c>
      <c r="M6" s="13" t="s">
        <v>47</v>
      </c>
      <c r="N6" s="13" t="s">
        <v>49</v>
      </c>
      <c r="O6" s="13" t="s">
        <v>49</v>
      </c>
      <c r="P6" s="13" t="s">
        <v>49</v>
      </c>
      <c r="Q6" s="13" t="s">
        <v>49</v>
      </c>
      <c r="R6" s="13" t="s">
        <v>47</v>
      </c>
      <c r="S6" s="13" t="s">
        <v>47</v>
      </c>
      <c r="T6" s="13" t="s">
        <v>47</v>
      </c>
      <c r="U6" s="13" t="s">
        <v>47</v>
      </c>
      <c r="V6" s="13" t="s">
        <v>47</v>
      </c>
      <c r="W6" s="13" t="s">
        <v>50</v>
      </c>
      <c r="X6" s="13" t="s">
        <v>47</v>
      </c>
      <c r="Y6" s="13" t="s">
        <v>47</v>
      </c>
      <c r="Z6" s="13"/>
      <c r="AA6" s="13" t="s">
        <v>50</v>
      </c>
      <c r="AB6" s="13"/>
      <c r="AC6" s="13"/>
      <c r="AD6" s="13"/>
      <c r="AE6" s="13" t="s">
        <v>47</v>
      </c>
      <c r="AF6" s="13" t="s">
        <v>47</v>
      </c>
      <c r="AG6" s="13" t="s">
        <v>50</v>
      </c>
      <c r="AH6" s="13"/>
      <c r="AI6" s="13" t="s">
        <v>50</v>
      </c>
      <c r="AJ6" s="13"/>
      <c r="AK6" s="13" t="s">
        <v>57</v>
      </c>
      <c r="AL6" s="13" t="s">
        <v>49</v>
      </c>
      <c r="AM6" s="13">
        <v>72</v>
      </c>
      <c r="AN6" s="16"/>
    </row>
    <row r="7" ht="15" customHeight="1" spans="1:40" x14ac:dyDescent="0.25">
      <c r="A7" s="13">
        <v>5</v>
      </c>
      <c r="B7" s="13" t="s">
        <v>46</v>
      </c>
      <c r="C7" s="13">
        <v>70</v>
      </c>
      <c r="D7" s="13" t="s">
        <v>47</v>
      </c>
      <c r="E7" s="13" t="s">
        <v>47</v>
      </c>
      <c r="F7" s="14" t="s">
        <v>48</v>
      </c>
      <c r="G7" s="13" t="s">
        <v>47</v>
      </c>
      <c r="H7" s="13" t="s">
        <v>47</v>
      </c>
      <c r="I7" s="13" t="s">
        <v>47</v>
      </c>
      <c r="J7" s="13" t="s">
        <v>47</v>
      </c>
      <c r="K7" s="13" t="s">
        <v>47</v>
      </c>
      <c r="L7" s="13" t="s">
        <v>49</v>
      </c>
      <c r="M7" s="13" t="s">
        <v>47</v>
      </c>
      <c r="N7" s="13" t="s">
        <v>49</v>
      </c>
      <c r="O7" s="13" t="s">
        <v>49</v>
      </c>
      <c r="P7" s="14" t="s">
        <v>48</v>
      </c>
      <c r="Q7" s="14" t="s">
        <v>48</v>
      </c>
      <c r="R7" s="13" t="s">
        <v>47</v>
      </c>
      <c r="S7" s="13" t="s">
        <v>47</v>
      </c>
      <c r="T7" s="13" t="s">
        <v>47</v>
      </c>
      <c r="U7" s="13" t="s">
        <v>47</v>
      </c>
      <c r="V7" s="13" t="s">
        <v>47</v>
      </c>
      <c r="W7" s="13" t="s">
        <v>50</v>
      </c>
      <c r="X7" s="13" t="s">
        <v>49</v>
      </c>
      <c r="Y7" s="14" t="s">
        <v>48</v>
      </c>
      <c r="Z7" s="13"/>
      <c r="AA7" s="13" t="s">
        <v>58</v>
      </c>
      <c r="AB7" s="13">
        <v>16.9</v>
      </c>
      <c r="AC7" s="13"/>
      <c r="AD7" s="13"/>
      <c r="AE7" s="13" t="s">
        <v>47</v>
      </c>
      <c r="AF7" s="13" t="s">
        <v>47</v>
      </c>
      <c r="AG7" s="13" t="s">
        <v>59</v>
      </c>
      <c r="AH7" s="13" t="s">
        <v>60</v>
      </c>
      <c r="AI7" s="13" t="s">
        <v>61</v>
      </c>
      <c r="AJ7" s="13"/>
      <c r="AK7" s="13" t="s">
        <v>62</v>
      </c>
      <c r="AL7" s="13" t="s">
        <v>49</v>
      </c>
      <c r="AM7" s="13">
        <v>10</v>
      </c>
      <c r="AN7" s="16"/>
    </row>
    <row r="8" ht="15" customHeight="1" spans="1:40" x14ac:dyDescent="0.25">
      <c r="A8" s="13">
        <v>6</v>
      </c>
      <c r="B8" s="13" t="s">
        <v>46</v>
      </c>
      <c r="C8" s="13">
        <v>66</v>
      </c>
      <c r="D8" s="13" t="s">
        <v>47</v>
      </c>
      <c r="E8" s="13" t="s">
        <v>47</v>
      </c>
      <c r="F8" s="14" t="s">
        <v>48</v>
      </c>
      <c r="G8" s="13" t="s">
        <v>47</v>
      </c>
      <c r="H8" s="13" t="s">
        <v>47</v>
      </c>
      <c r="I8" s="13" t="s">
        <v>47</v>
      </c>
      <c r="J8" s="13" t="s">
        <v>47</v>
      </c>
      <c r="K8" s="13" t="s">
        <v>47</v>
      </c>
      <c r="L8" s="13" t="s">
        <v>49</v>
      </c>
      <c r="M8" s="13" t="s">
        <v>47</v>
      </c>
      <c r="N8" s="13" t="s">
        <v>49</v>
      </c>
      <c r="O8" s="13" t="s">
        <v>49</v>
      </c>
      <c r="P8" s="14" t="s">
        <v>48</v>
      </c>
      <c r="Q8" s="13" t="s">
        <v>49</v>
      </c>
      <c r="R8" s="14" t="s">
        <v>48</v>
      </c>
      <c r="S8" s="13" t="s">
        <v>47</v>
      </c>
      <c r="T8" s="14" t="s">
        <v>48</v>
      </c>
      <c r="U8" s="13" t="s">
        <v>47</v>
      </c>
      <c r="V8" s="14" t="s">
        <v>48</v>
      </c>
      <c r="W8" s="13" t="s">
        <v>58</v>
      </c>
      <c r="X8" s="14" t="s">
        <v>48</v>
      </c>
      <c r="Y8" s="14" t="s">
        <v>48</v>
      </c>
      <c r="Z8" s="13">
        <v>36.9</v>
      </c>
      <c r="AA8" s="13" t="s">
        <v>63</v>
      </c>
      <c r="AB8" s="13">
        <v>100</v>
      </c>
      <c r="AC8" s="13">
        <v>284</v>
      </c>
      <c r="AD8" s="13"/>
      <c r="AE8" s="13" t="s">
        <v>47</v>
      </c>
      <c r="AF8" s="13" t="s">
        <v>47</v>
      </c>
      <c r="AG8" s="13" t="s">
        <v>64</v>
      </c>
      <c r="AH8" s="13" t="s">
        <v>65</v>
      </c>
      <c r="AI8" s="13" t="s">
        <v>66</v>
      </c>
      <c r="AJ8" s="13">
        <v>1.27</v>
      </c>
      <c r="AK8" s="13" t="s">
        <v>56</v>
      </c>
      <c r="AL8" s="13" t="s">
        <v>49</v>
      </c>
      <c r="AM8" s="13">
        <v>2</v>
      </c>
      <c r="AN8" s="15" t="s">
        <v>67</v>
      </c>
    </row>
    <row r="9" ht="15" customHeight="1" spans="1:40" x14ac:dyDescent="0.25">
      <c r="A9" s="13">
        <v>7</v>
      </c>
      <c r="B9" s="13" t="s">
        <v>53</v>
      </c>
      <c r="C9" s="13">
        <v>0.75</v>
      </c>
      <c r="D9" s="13" t="s">
        <v>47</v>
      </c>
      <c r="E9" s="13" t="s">
        <v>47</v>
      </c>
      <c r="F9" s="14" t="s">
        <v>48</v>
      </c>
      <c r="G9" s="13" t="s">
        <v>47</v>
      </c>
      <c r="H9" s="13" t="s">
        <v>47</v>
      </c>
      <c r="I9" s="13" t="s">
        <v>47</v>
      </c>
      <c r="J9" s="13" t="s">
        <v>47</v>
      </c>
      <c r="K9" s="13" t="s">
        <v>47</v>
      </c>
      <c r="L9" s="13" t="s">
        <v>47</v>
      </c>
      <c r="M9" s="13" t="s">
        <v>47</v>
      </c>
      <c r="N9" s="13" t="s">
        <v>47</v>
      </c>
      <c r="O9" s="13" t="s">
        <v>47</v>
      </c>
      <c r="P9" s="13" t="s">
        <v>47</v>
      </c>
      <c r="Q9" s="13" t="s">
        <v>47</v>
      </c>
      <c r="R9" s="13" t="s">
        <v>47</v>
      </c>
      <c r="S9" s="13" t="s">
        <v>47</v>
      </c>
      <c r="T9" s="13" t="s">
        <v>49</v>
      </c>
      <c r="U9" s="13" t="s">
        <v>47</v>
      </c>
      <c r="V9" s="14" t="s">
        <v>48</v>
      </c>
      <c r="W9" s="13" t="s">
        <v>50</v>
      </c>
      <c r="X9" s="13" t="s">
        <v>49</v>
      </c>
      <c r="Y9" s="13" t="s">
        <v>49</v>
      </c>
      <c r="Z9" s="13">
        <v>14.2</v>
      </c>
      <c r="AA9" s="13" t="s">
        <v>63</v>
      </c>
      <c r="AB9" s="13">
        <v>6.56</v>
      </c>
      <c r="AC9" s="13"/>
      <c r="AD9" s="13">
        <v>15</v>
      </c>
      <c r="AE9" s="13" t="s">
        <v>47</v>
      </c>
      <c r="AF9" s="13" t="s">
        <v>47</v>
      </c>
      <c r="AG9" s="13" t="s">
        <v>64</v>
      </c>
      <c r="AH9" s="13" t="s">
        <v>68</v>
      </c>
      <c r="AI9" s="13" t="s">
        <v>61</v>
      </c>
      <c r="AJ9" s="13"/>
      <c r="AK9" s="13" t="s">
        <v>69</v>
      </c>
      <c r="AL9" s="14" t="s">
        <v>48</v>
      </c>
      <c r="AM9" s="13">
        <v>8</v>
      </c>
      <c r="AN9" s="15" t="s">
        <v>70</v>
      </c>
    </row>
    <row r="10" ht="15" customHeight="1" spans="1:40" x14ac:dyDescent="0.25">
      <c r="A10" s="13">
        <v>8</v>
      </c>
      <c r="B10" s="13" t="s">
        <v>53</v>
      </c>
      <c r="C10" s="13">
        <v>45</v>
      </c>
      <c r="D10" s="13" t="s">
        <v>47</v>
      </c>
      <c r="E10" s="13" t="s">
        <v>47</v>
      </c>
      <c r="F10" s="14" t="s">
        <v>48</v>
      </c>
      <c r="G10" s="14" t="s">
        <v>48</v>
      </c>
      <c r="H10" s="14" t="s">
        <v>48</v>
      </c>
      <c r="I10" s="13" t="s">
        <v>47</v>
      </c>
      <c r="J10" s="14" t="s">
        <v>48</v>
      </c>
      <c r="K10" s="13" t="s">
        <v>47</v>
      </c>
      <c r="L10" s="13" t="s">
        <v>47</v>
      </c>
      <c r="M10" s="13" t="s">
        <v>47</v>
      </c>
      <c r="N10" s="13" t="s">
        <v>47</v>
      </c>
      <c r="O10" s="13" t="s">
        <v>47</v>
      </c>
      <c r="P10" s="13" t="s">
        <v>47</v>
      </c>
      <c r="Q10" s="13" t="s">
        <v>47</v>
      </c>
      <c r="R10" s="13" t="s">
        <v>47</v>
      </c>
      <c r="S10" s="13" t="s">
        <v>47</v>
      </c>
      <c r="T10" s="13" t="s">
        <v>47</v>
      </c>
      <c r="U10" s="13" t="s">
        <v>47</v>
      </c>
      <c r="V10" s="13" t="s">
        <v>47</v>
      </c>
      <c r="W10" s="13" t="s">
        <v>50</v>
      </c>
      <c r="X10" s="14" t="s">
        <v>48</v>
      </c>
      <c r="Y10" s="13" t="s">
        <v>49</v>
      </c>
      <c r="Z10" s="13"/>
      <c r="AA10" s="13" t="s">
        <v>50</v>
      </c>
      <c r="AB10" s="13"/>
      <c r="AC10" s="13"/>
      <c r="AD10" s="13"/>
      <c r="AE10" s="13" t="s">
        <v>47</v>
      </c>
      <c r="AF10" s="13" t="s">
        <v>47</v>
      </c>
      <c r="AG10" s="13" t="s">
        <v>50</v>
      </c>
      <c r="AH10" s="13" t="s">
        <v>71</v>
      </c>
      <c r="AI10" s="13" t="s">
        <v>61</v>
      </c>
      <c r="AJ10" s="13"/>
      <c r="AK10" s="13" t="s">
        <v>72</v>
      </c>
      <c r="AL10" s="13" t="s">
        <v>49</v>
      </c>
      <c r="AM10" s="13">
        <v>60</v>
      </c>
      <c r="AN10" s="16"/>
    </row>
    <row r="11" ht="15" customHeight="1" spans="1:40" x14ac:dyDescent="0.25">
      <c r="A11" s="13">
        <v>9</v>
      </c>
      <c r="B11" s="13" t="s">
        <v>46</v>
      </c>
      <c r="C11" s="13">
        <v>58</v>
      </c>
      <c r="D11" s="13" t="s">
        <v>47</v>
      </c>
      <c r="E11" s="13" t="s">
        <v>47</v>
      </c>
      <c r="F11" s="13" t="s">
        <v>49</v>
      </c>
      <c r="G11" s="13" t="s">
        <v>49</v>
      </c>
      <c r="H11" s="13" t="s">
        <v>49</v>
      </c>
      <c r="I11" s="13" t="s">
        <v>47</v>
      </c>
      <c r="J11" s="13" t="s">
        <v>49</v>
      </c>
      <c r="K11" s="13" t="s">
        <v>47</v>
      </c>
      <c r="L11" s="13" t="s">
        <v>49</v>
      </c>
      <c r="M11" s="13" t="s">
        <v>47</v>
      </c>
      <c r="N11" s="13" t="s">
        <v>49</v>
      </c>
      <c r="O11" s="13" t="s">
        <v>49</v>
      </c>
      <c r="P11" s="13" t="s">
        <v>49</v>
      </c>
      <c r="Q11" s="13" t="s">
        <v>49</v>
      </c>
      <c r="R11" s="13" t="s">
        <v>49</v>
      </c>
      <c r="S11" s="14" t="s">
        <v>48</v>
      </c>
      <c r="T11" s="13" t="s">
        <v>49</v>
      </c>
      <c r="U11" s="13" t="s">
        <v>47</v>
      </c>
      <c r="V11" s="13" t="s">
        <v>49</v>
      </c>
      <c r="W11" s="13" t="s">
        <v>50</v>
      </c>
      <c r="X11" s="14" t="s">
        <v>48</v>
      </c>
      <c r="Y11" s="13" t="s">
        <v>47</v>
      </c>
      <c r="Z11" s="13"/>
      <c r="AA11" s="13" t="s">
        <v>50</v>
      </c>
      <c r="AB11" s="13"/>
      <c r="AC11" s="13"/>
      <c r="AD11" s="13"/>
      <c r="AE11" s="14" t="s">
        <v>48</v>
      </c>
      <c r="AF11" s="13" t="s">
        <v>47</v>
      </c>
      <c r="AG11" s="13" t="s">
        <v>50</v>
      </c>
      <c r="AH11" s="13" t="s">
        <v>73</v>
      </c>
      <c r="AI11" s="13" t="s">
        <v>74</v>
      </c>
      <c r="AJ11" s="13"/>
      <c r="AK11" s="13" t="s">
        <v>75</v>
      </c>
      <c r="AL11" s="13" t="s">
        <v>49</v>
      </c>
      <c r="AM11" s="13">
        <v>1</v>
      </c>
      <c r="AN11" s="16"/>
    </row>
    <row r="12" ht="15" customHeight="1" spans="1:40" x14ac:dyDescent="0.25">
      <c r="A12" s="13">
        <v>10</v>
      </c>
      <c r="B12" s="13" t="s">
        <v>46</v>
      </c>
      <c r="C12" s="13">
        <v>50</v>
      </c>
      <c r="D12" s="13" t="s">
        <v>47</v>
      </c>
      <c r="E12" s="13" t="s">
        <v>47</v>
      </c>
      <c r="F12" s="13" t="s">
        <v>49</v>
      </c>
      <c r="G12" s="13" t="s">
        <v>49</v>
      </c>
      <c r="H12" s="13" t="s">
        <v>49</v>
      </c>
      <c r="I12" s="13" t="s">
        <v>47</v>
      </c>
      <c r="J12" s="13" t="s">
        <v>49</v>
      </c>
      <c r="K12" s="13" t="s">
        <v>47</v>
      </c>
      <c r="L12" s="13" t="s">
        <v>49</v>
      </c>
      <c r="M12" s="13" t="s">
        <v>47</v>
      </c>
      <c r="N12" s="13" t="s">
        <v>49</v>
      </c>
      <c r="O12" s="13" t="s">
        <v>49</v>
      </c>
      <c r="P12" s="13" t="s">
        <v>49</v>
      </c>
      <c r="Q12" s="13" t="s">
        <v>49</v>
      </c>
      <c r="R12" s="13" t="s">
        <v>49</v>
      </c>
      <c r="S12" s="14" t="s">
        <v>48</v>
      </c>
      <c r="T12" s="13" t="s">
        <v>49</v>
      </c>
      <c r="U12" s="14" t="s">
        <v>48</v>
      </c>
      <c r="V12" s="13" t="s">
        <v>49</v>
      </c>
      <c r="W12" s="13" t="s">
        <v>50</v>
      </c>
      <c r="X12" s="13" t="s">
        <v>47</v>
      </c>
      <c r="Y12" s="13" t="s">
        <v>47</v>
      </c>
      <c r="Z12" s="13"/>
      <c r="AA12" s="13" t="s">
        <v>50</v>
      </c>
      <c r="AB12" s="13"/>
      <c r="AC12" s="13"/>
      <c r="AD12" s="13"/>
      <c r="AE12" s="14" t="s">
        <v>48</v>
      </c>
      <c r="AF12" s="13" t="s">
        <v>47</v>
      </c>
      <c r="AG12" s="13" t="s">
        <v>50</v>
      </c>
      <c r="AH12" s="13"/>
      <c r="AI12" s="13" t="s">
        <v>50</v>
      </c>
      <c r="AJ12" s="13"/>
      <c r="AK12" s="13" t="s">
        <v>76</v>
      </c>
      <c r="AL12" s="13" t="s">
        <v>49</v>
      </c>
      <c r="AM12" s="13">
        <v>24</v>
      </c>
      <c r="AN12" s="16"/>
    </row>
    <row r="13" ht="15" customHeight="1" spans="1:40" x14ac:dyDescent="0.25">
      <c r="A13" s="13">
        <v>11</v>
      </c>
      <c r="B13" s="13" t="s">
        <v>53</v>
      </c>
      <c r="C13" s="13">
        <v>42</v>
      </c>
      <c r="D13" s="14" t="s">
        <v>48</v>
      </c>
      <c r="E13" s="14" t="s">
        <v>48</v>
      </c>
      <c r="F13" s="14" t="s">
        <v>48</v>
      </c>
      <c r="G13" s="13" t="s">
        <v>49</v>
      </c>
      <c r="H13" s="13" t="s">
        <v>49</v>
      </c>
      <c r="I13" s="13" t="s">
        <v>47</v>
      </c>
      <c r="J13" s="13" t="s">
        <v>49</v>
      </c>
      <c r="K13" s="13" t="s">
        <v>47</v>
      </c>
      <c r="L13" s="13" t="s">
        <v>49</v>
      </c>
      <c r="M13" s="13" t="s">
        <v>47</v>
      </c>
      <c r="N13" s="13" t="s">
        <v>49</v>
      </c>
      <c r="O13" s="13" t="s">
        <v>49</v>
      </c>
      <c r="P13" s="13" t="s">
        <v>49</v>
      </c>
      <c r="Q13" s="13" t="s">
        <v>49</v>
      </c>
      <c r="R13" s="13" t="s">
        <v>49</v>
      </c>
      <c r="S13" s="13" t="s">
        <v>49</v>
      </c>
      <c r="T13" s="13" t="s">
        <v>49</v>
      </c>
      <c r="U13" s="13" t="s">
        <v>49</v>
      </c>
      <c r="V13" s="13" t="s">
        <v>49</v>
      </c>
      <c r="W13" s="13" t="s">
        <v>50</v>
      </c>
      <c r="X13" s="14" t="s">
        <v>48</v>
      </c>
      <c r="Y13" s="14" t="s">
        <v>48</v>
      </c>
      <c r="Z13" s="13">
        <v>70</v>
      </c>
      <c r="AA13" s="13" t="s">
        <v>63</v>
      </c>
      <c r="AB13" s="13"/>
      <c r="AC13" s="13"/>
      <c r="AD13" s="13"/>
      <c r="AE13" s="13" t="s">
        <v>47</v>
      </c>
      <c r="AF13" s="13" t="s">
        <v>47</v>
      </c>
      <c r="AG13" s="13" t="s">
        <v>50</v>
      </c>
      <c r="AH13" s="13" t="s">
        <v>77</v>
      </c>
      <c r="AI13" s="13" t="s">
        <v>61</v>
      </c>
      <c r="AJ13" s="13"/>
      <c r="AK13" s="13" t="s">
        <v>78</v>
      </c>
      <c r="AL13" s="14" t="s">
        <v>48</v>
      </c>
      <c r="AM13" s="13">
        <v>6</v>
      </c>
      <c r="AN13" s="16"/>
    </row>
    <row r="14" spans="1:40" x14ac:dyDescent="0.25">
      <c r="A14" s="13">
        <v>12</v>
      </c>
      <c r="B14" s="13" t="s">
        <v>53</v>
      </c>
      <c r="C14" s="13">
        <v>44</v>
      </c>
      <c r="D14" s="14" t="s">
        <v>48</v>
      </c>
      <c r="E14" s="13" t="s">
        <v>49</v>
      </c>
      <c r="F14" s="13" t="s">
        <v>49</v>
      </c>
      <c r="G14" s="13" t="s">
        <v>49</v>
      </c>
      <c r="H14" s="13" t="s">
        <v>49</v>
      </c>
      <c r="I14" s="13" t="s">
        <v>47</v>
      </c>
      <c r="J14" s="13" t="s">
        <v>49</v>
      </c>
      <c r="K14" s="13" t="s">
        <v>47</v>
      </c>
      <c r="L14" s="13" t="s">
        <v>49</v>
      </c>
      <c r="M14" s="13" t="s">
        <v>47</v>
      </c>
      <c r="N14" s="13" t="s">
        <v>49</v>
      </c>
      <c r="O14" s="13" t="s">
        <v>49</v>
      </c>
      <c r="P14" s="13" t="s">
        <v>49</v>
      </c>
      <c r="Q14" s="13" t="s">
        <v>49</v>
      </c>
      <c r="R14" s="13" t="s">
        <v>49</v>
      </c>
      <c r="S14" s="13" t="s">
        <v>49</v>
      </c>
      <c r="T14" s="13" t="s">
        <v>49</v>
      </c>
      <c r="U14" s="13" t="s">
        <v>49</v>
      </c>
      <c r="V14" s="14" t="s">
        <v>48</v>
      </c>
      <c r="W14" s="13" t="s">
        <v>50</v>
      </c>
      <c r="X14" s="13" t="s">
        <v>49</v>
      </c>
      <c r="Y14" s="13" t="s">
        <v>49</v>
      </c>
      <c r="Z14" s="13"/>
      <c r="AA14" s="13" t="s">
        <v>50</v>
      </c>
      <c r="AB14" s="13"/>
      <c r="AC14" s="13"/>
      <c r="AD14" s="13"/>
      <c r="AE14" s="13" t="s">
        <v>47</v>
      </c>
      <c r="AF14" s="13" t="s">
        <v>47</v>
      </c>
      <c r="AG14" s="13" t="s">
        <v>50</v>
      </c>
      <c r="AH14" s="13" t="s">
        <v>79</v>
      </c>
      <c r="AI14" s="13" t="s">
        <v>61</v>
      </c>
      <c r="AJ14" s="13"/>
      <c r="AK14" s="13" t="s">
        <v>80</v>
      </c>
      <c r="AL14" s="14" t="s">
        <v>48</v>
      </c>
      <c r="AM14" s="13">
        <v>2</v>
      </c>
      <c r="AN14" s="15" t="s">
        <v>81</v>
      </c>
    </row>
    <row r="15" ht="15" customHeight="1" spans="1:40" x14ac:dyDescent="0.25">
      <c r="A15" s="13">
        <v>13</v>
      </c>
      <c r="B15" s="13" t="s">
        <v>53</v>
      </c>
      <c r="C15" s="13">
        <v>71</v>
      </c>
      <c r="D15" s="13" t="s">
        <v>47</v>
      </c>
      <c r="E15" s="13" t="s">
        <v>47</v>
      </c>
      <c r="F15" s="13" t="s">
        <v>47</v>
      </c>
      <c r="G15" s="13" t="s">
        <v>47</v>
      </c>
      <c r="H15" s="13" t="s">
        <v>47</v>
      </c>
      <c r="I15" s="13" t="s">
        <v>47</v>
      </c>
      <c r="J15" s="13" t="s">
        <v>47</v>
      </c>
      <c r="K15" s="13" t="s">
        <v>47</v>
      </c>
      <c r="L15" s="13" t="s">
        <v>47</v>
      </c>
      <c r="M15" s="13" t="s">
        <v>47</v>
      </c>
      <c r="N15" s="13" t="s">
        <v>47</v>
      </c>
      <c r="O15" s="13" t="s">
        <v>47</v>
      </c>
      <c r="P15" s="13" t="s">
        <v>47</v>
      </c>
      <c r="Q15" s="13" t="s">
        <v>47</v>
      </c>
      <c r="R15" s="13" t="s">
        <v>47</v>
      </c>
      <c r="S15" s="13" t="s">
        <v>47</v>
      </c>
      <c r="T15" s="13" t="s">
        <v>47</v>
      </c>
      <c r="U15" s="14" t="s">
        <v>48</v>
      </c>
      <c r="V15" s="13" t="s">
        <v>47</v>
      </c>
      <c r="W15" s="13" t="s">
        <v>50</v>
      </c>
      <c r="X15" s="14" t="s">
        <v>48</v>
      </c>
      <c r="Y15" s="13" t="s">
        <v>47</v>
      </c>
      <c r="Z15" s="13"/>
      <c r="AA15" s="13" t="s">
        <v>58</v>
      </c>
      <c r="AB15" s="13"/>
      <c r="AC15" s="13"/>
      <c r="AD15" s="13"/>
      <c r="AE15" s="14" t="s">
        <v>48</v>
      </c>
      <c r="AF15" s="13" t="s">
        <v>47</v>
      </c>
      <c r="AG15" s="13" t="s">
        <v>50</v>
      </c>
      <c r="AH15" s="13" t="s">
        <v>73</v>
      </c>
      <c r="AI15" s="13" t="s">
        <v>61</v>
      </c>
      <c r="AJ15" s="13"/>
      <c r="AK15" s="13" t="s">
        <v>82</v>
      </c>
      <c r="AL15" s="14" t="s">
        <v>48</v>
      </c>
      <c r="AM15" s="13">
        <v>156</v>
      </c>
      <c r="AN15" s="16"/>
    </row>
    <row r="16" ht="15" customHeight="1" spans="1:40" x14ac:dyDescent="0.25">
      <c r="A16" s="13">
        <v>14</v>
      </c>
      <c r="B16" s="13" t="s">
        <v>53</v>
      </c>
      <c r="C16" s="13">
        <v>70</v>
      </c>
      <c r="D16" s="13" t="s">
        <v>49</v>
      </c>
      <c r="E16" s="13" t="s">
        <v>49</v>
      </c>
      <c r="F16" s="14" t="s">
        <v>48</v>
      </c>
      <c r="G16" s="13" t="s">
        <v>49</v>
      </c>
      <c r="H16" s="13" t="s">
        <v>49</v>
      </c>
      <c r="I16" s="13" t="s">
        <v>47</v>
      </c>
      <c r="J16" s="13" t="s">
        <v>47</v>
      </c>
      <c r="K16" s="13" t="s">
        <v>47</v>
      </c>
      <c r="L16" s="13" t="s">
        <v>47</v>
      </c>
      <c r="M16" s="13" t="s">
        <v>47</v>
      </c>
      <c r="N16" s="13" t="s">
        <v>47</v>
      </c>
      <c r="O16" s="13" t="s">
        <v>47</v>
      </c>
      <c r="P16" s="13" t="s">
        <v>47</v>
      </c>
      <c r="Q16" s="13" t="s">
        <v>47</v>
      </c>
      <c r="R16" s="13" t="s">
        <v>47</v>
      </c>
      <c r="S16" s="14" t="s">
        <v>48</v>
      </c>
      <c r="T16" s="13" t="s">
        <v>47</v>
      </c>
      <c r="U16" s="14" t="s">
        <v>48</v>
      </c>
      <c r="V16" s="13" t="s">
        <v>47</v>
      </c>
      <c r="W16" s="13" t="s">
        <v>50</v>
      </c>
      <c r="X16" s="13" t="s">
        <v>47</v>
      </c>
      <c r="Y16" s="13" t="s">
        <v>47</v>
      </c>
      <c r="Z16" s="13"/>
      <c r="AA16" s="13" t="s">
        <v>50</v>
      </c>
      <c r="AB16" s="13"/>
      <c r="AC16" s="13"/>
      <c r="AD16" s="13"/>
      <c r="AE16" s="14" t="s">
        <v>48</v>
      </c>
      <c r="AF16" s="13" t="s">
        <v>47</v>
      </c>
      <c r="AG16" s="13" t="s">
        <v>50</v>
      </c>
      <c r="AH16" s="13" t="s">
        <v>83</v>
      </c>
      <c r="AI16" s="13" t="s">
        <v>61</v>
      </c>
      <c r="AJ16" s="13">
        <v>9.04</v>
      </c>
      <c r="AK16" s="13" t="s">
        <v>84</v>
      </c>
      <c r="AL16" s="14" t="s">
        <v>48</v>
      </c>
      <c r="AM16" s="13">
        <v>36</v>
      </c>
      <c r="AN16" s="16"/>
    </row>
    <row r="17" spans="1:40" x14ac:dyDescent="0.25">
      <c r="A17" s="13">
        <v>15</v>
      </c>
      <c r="B17" s="13" t="s">
        <v>53</v>
      </c>
      <c r="C17" s="13">
        <v>69</v>
      </c>
      <c r="D17" s="13" t="s">
        <v>47</v>
      </c>
      <c r="E17" s="13" t="s">
        <v>47</v>
      </c>
      <c r="F17" s="13" t="s">
        <v>47</v>
      </c>
      <c r="G17" s="14" t="s">
        <v>48</v>
      </c>
      <c r="H17" s="13" t="s">
        <v>47</v>
      </c>
      <c r="I17" s="13" t="s">
        <v>47</v>
      </c>
      <c r="J17" s="13" t="s">
        <v>47</v>
      </c>
      <c r="K17" s="13" t="s">
        <v>47</v>
      </c>
      <c r="L17" s="13" t="s">
        <v>47</v>
      </c>
      <c r="M17" s="13" t="s">
        <v>47</v>
      </c>
      <c r="N17" s="13" t="s">
        <v>47</v>
      </c>
      <c r="O17" s="13" t="s">
        <v>47</v>
      </c>
      <c r="P17" s="13" t="s">
        <v>47</v>
      </c>
      <c r="Q17" s="13" t="s">
        <v>47</v>
      </c>
      <c r="R17" s="13" t="s">
        <v>47</v>
      </c>
      <c r="S17" s="13" t="s">
        <v>47</v>
      </c>
      <c r="T17" s="13" t="s">
        <v>47</v>
      </c>
      <c r="U17" s="13" t="s">
        <v>47</v>
      </c>
      <c r="V17" s="13" t="s">
        <v>47</v>
      </c>
      <c r="W17" s="13" t="s">
        <v>50</v>
      </c>
      <c r="X17" s="13" t="s">
        <v>47</v>
      </c>
      <c r="Y17" s="13" t="s">
        <v>47</v>
      </c>
      <c r="Z17" s="13"/>
      <c r="AA17" s="13" t="s">
        <v>50</v>
      </c>
      <c r="AB17" s="13"/>
      <c r="AC17" s="13"/>
      <c r="AD17" s="13"/>
      <c r="AE17" s="13" t="s">
        <v>47</v>
      </c>
      <c r="AF17" s="13" t="s">
        <v>47</v>
      </c>
      <c r="AG17" s="13" t="s">
        <v>50</v>
      </c>
      <c r="AH17" s="13" t="s">
        <v>85</v>
      </c>
      <c r="AI17" s="13" t="s">
        <v>86</v>
      </c>
      <c r="AJ17" s="13"/>
      <c r="AK17" s="13" t="s">
        <v>87</v>
      </c>
      <c r="AL17" s="14" t="s">
        <v>48</v>
      </c>
      <c r="AM17" s="13"/>
      <c r="AN17" s="15" t="s">
        <v>88</v>
      </c>
    </row>
    <row r="18" spans="1:40" x14ac:dyDescent="0.25">
      <c r="A18" s="13">
        <v>16</v>
      </c>
      <c r="B18" s="13" t="s">
        <v>46</v>
      </c>
      <c r="C18" s="13">
        <v>45</v>
      </c>
      <c r="D18" s="13" t="s">
        <v>47</v>
      </c>
      <c r="E18" s="13" t="s">
        <v>47</v>
      </c>
      <c r="F18" s="14" t="s">
        <v>48</v>
      </c>
      <c r="G18" s="13" t="s">
        <v>49</v>
      </c>
      <c r="H18" s="13" t="s">
        <v>47</v>
      </c>
      <c r="I18" s="13" t="s">
        <v>47</v>
      </c>
      <c r="J18" s="14" t="s">
        <v>48</v>
      </c>
      <c r="K18" s="13" t="s">
        <v>47</v>
      </c>
      <c r="L18" s="13" t="s">
        <v>47</v>
      </c>
      <c r="M18" s="13" t="s">
        <v>47</v>
      </c>
      <c r="N18" s="13" t="s">
        <v>47</v>
      </c>
      <c r="O18" s="13" t="s">
        <v>47</v>
      </c>
      <c r="P18" s="13" t="s">
        <v>47</v>
      </c>
      <c r="Q18" s="13" t="s">
        <v>47</v>
      </c>
      <c r="R18" s="13" t="s">
        <v>47</v>
      </c>
      <c r="S18" s="14" t="s">
        <v>48</v>
      </c>
      <c r="T18" s="13" t="s">
        <v>47</v>
      </c>
      <c r="U18" s="14" t="s">
        <v>48</v>
      </c>
      <c r="V18" s="13" t="s">
        <v>47</v>
      </c>
      <c r="W18" s="13" t="s">
        <v>50</v>
      </c>
      <c r="X18" s="13" t="s">
        <v>47</v>
      </c>
      <c r="Y18" s="14" t="s">
        <v>48</v>
      </c>
      <c r="Z18" s="13"/>
      <c r="AA18" s="13" t="s">
        <v>50</v>
      </c>
      <c r="AB18" s="13"/>
      <c r="AC18" s="13"/>
      <c r="AD18" s="13"/>
      <c r="AE18" s="13" t="s">
        <v>47</v>
      </c>
      <c r="AF18" s="13" t="s">
        <v>47</v>
      </c>
      <c r="AG18" s="13" t="s">
        <v>64</v>
      </c>
      <c r="AH18" s="13" t="s">
        <v>89</v>
      </c>
      <c r="AI18" s="13" t="s">
        <v>61</v>
      </c>
      <c r="AJ18" s="13"/>
      <c r="AK18" s="13" t="s">
        <v>90</v>
      </c>
      <c r="AL18" s="14" t="s">
        <v>48</v>
      </c>
      <c r="AM18" s="13"/>
      <c r="AN18" s="15" t="s">
        <v>91</v>
      </c>
    </row>
    <row r="19" ht="15" customHeight="1" spans="1:40" x14ac:dyDescent="0.25">
      <c r="A19" s="13">
        <v>17</v>
      </c>
      <c r="B19" s="13" t="s">
        <v>53</v>
      </c>
      <c r="C19" s="13">
        <v>26</v>
      </c>
      <c r="D19" s="14" t="s">
        <v>48</v>
      </c>
      <c r="E19" s="13" t="s">
        <v>47</v>
      </c>
      <c r="F19" s="13" t="s">
        <v>47</v>
      </c>
      <c r="G19" s="13" t="s">
        <v>47</v>
      </c>
      <c r="H19" s="13" t="s">
        <v>47</v>
      </c>
      <c r="I19" s="13" t="s">
        <v>47</v>
      </c>
      <c r="J19" s="13" t="s">
        <v>47</v>
      </c>
      <c r="K19" s="13" t="s">
        <v>47</v>
      </c>
      <c r="L19" s="13" t="s">
        <v>47</v>
      </c>
      <c r="M19" s="13" t="s">
        <v>47</v>
      </c>
      <c r="N19" s="13" t="s">
        <v>47</v>
      </c>
      <c r="O19" s="13" t="s">
        <v>47</v>
      </c>
      <c r="P19" s="13" t="s">
        <v>47</v>
      </c>
      <c r="Q19" s="13" t="s">
        <v>47</v>
      </c>
      <c r="R19" s="13" t="s">
        <v>47</v>
      </c>
      <c r="S19" s="13" t="s">
        <v>47</v>
      </c>
      <c r="T19" s="13" t="s">
        <v>47</v>
      </c>
      <c r="U19" s="13" t="s">
        <v>47</v>
      </c>
      <c r="V19" s="14" t="s">
        <v>48</v>
      </c>
      <c r="W19" s="13" t="s">
        <v>50</v>
      </c>
      <c r="X19" s="13" t="s">
        <v>47</v>
      </c>
      <c r="Y19" s="13" t="s">
        <v>47</v>
      </c>
      <c r="Z19" s="13"/>
      <c r="AA19" s="13" t="s">
        <v>50</v>
      </c>
      <c r="AB19" s="13"/>
      <c r="AC19" s="13"/>
      <c r="AD19" s="13"/>
      <c r="AE19" s="13" t="s">
        <v>47</v>
      </c>
      <c r="AF19" s="13" t="s">
        <v>47</v>
      </c>
      <c r="AG19" s="13" t="s">
        <v>50</v>
      </c>
      <c r="AH19" s="13" t="s">
        <v>68</v>
      </c>
      <c r="AI19" s="13" t="s">
        <v>61</v>
      </c>
      <c r="AJ19" s="13"/>
      <c r="AK19" s="13" t="s">
        <v>92</v>
      </c>
      <c r="AL19" s="14" t="s">
        <v>48</v>
      </c>
      <c r="AM19" s="13">
        <v>12</v>
      </c>
      <c r="AN19" s="16"/>
    </row>
    <row r="20" ht="15" customHeight="1" spans="1:40" x14ac:dyDescent="0.25">
      <c r="A20" s="13">
        <v>18</v>
      </c>
      <c r="B20" s="13" t="s">
        <v>46</v>
      </c>
      <c r="C20" s="13">
        <v>39</v>
      </c>
      <c r="D20" s="13" t="s">
        <v>47</v>
      </c>
      <c r="E20" s="14" t="s">
        <v>48</v>
      </c>
      <c r="F20" s="14" t="s">
        <v>48</v>
      </c>
      <c r="G20" s="14" t="s">
        <v>48</v>
      </c>
      <c r="H20" s="13" t="s">
        <v>47</v>
      </c>
      <c r="I20" s="13" t="s">
        <v>47</v>
      </c>
      <c r="J20" s="13" t="s">
        <v>47</v>
      </c>
      <c r="K20" s="13" t="s">
        <v>47</v>
      </c>
      <c r="L20" s="13" t="s">
        <v>47</v>
      </c>
      <c r="M20" s="13" t="s">
        <v>47</v>
      </c>
      <c r="N20" s="14" t="s">
        <v>48</v>
      </c>
      <c r="O20" s="13" t="s">
        <v>47</v>
      </c>
      <c r="P20" s="13" t="s">
        <v>47</v>
      </c>
      <c r="Q20" s="13" t="s">
        <v>47</v>
      </c>
      <c r="R20" s="13" t="s">
        <v>47</v>
      </c>
      <c r="S20" s="13" t="s">
        <v>47</v>
      </c>
      <c r="T20" s="13" t="s">
        <v>47</v>
      </c>
      <c r="U20" s="13" t="s">
        <v>47</v>
      </c>
      <c r="V20" s="14" t="s">
        <v>48</v>
      </c>
      <c r="W20" s="13" t="s">
        <v>58</v>
      </c>
      <c r="X20" s="13" t="s">
        <v>49</v>
      </c>
      <c r="Y20" s="13" t="s">
        <v>47</v>
      </c>
      <c r="Z20" s="13"/>
      <c r="AA20" s="13" t="s">
        <v>58</v>
      </c>
      <c r="AB20" s="13"/>
      <c r="AC20" s="13"/>
      <c r="AD20" s="13"/>
      <c r="AE20" s="14" t="s">
        <v>48</v>
      </c>
      <c r="AF20" s="13" t="s">
        <v>47</v>
      </c>
      <c r="AG20" s="13" t="s">
        <v>50</v>
      </c>
      <c r="AH20" s="13" t="s">
        <v>93</v>
      </c>
      <c r="AI20" s="13" t="s">
        <v>61</v>
      </c>
      <c r="AJ20" s="13"/>
      <c r="AK20" s="13" t="s">
        <v>94</v>
      </c>
      <c r="AL20" s="14" t="s">
        <v>48</v>
      </c>
      <c r="AM20" s="13">
        <v>2</v>
      </c>
      <c r="AN20" s="15" t="s">
        <v>95</v>
      </c>
    </row>
    <row r="21" ht="15" customHeight="1" spans="1:40" x14ac:dyDescent="0.25">
      <c r="A21" s="13">
        <v>19</v>
      </c>
      <c r="B21" s="13" t="s">
        <v>53</v>
      </c>
      <c r="C21" s="13">
        <v>56</v>
      </c>
      <c r="D21" s="13" t="s">
        <v>49</v>
      </c>
      <c r="E21" s="13" t="s">
        <v>49</v>
      </c>
      <c r="F21" s="13" t="s">
        <v>49</v>
      </c>
      <c r="G21" s="13" t="s">
        <v>49</v>
      </c>
      <c r="H21" s="14" t="s">
        <v>48</v>
      </c>
      <c r="I21" s="14" t="s">
        <v>48</v>
      </c>
      <c r="J21" s="13" t="s">
        <v>49</v>
      </c>
      <c r="K21" s="13" t="s">
        <v>47</v>
      </c>
      <c r="L21" s="13" t="s">
        <v>49</v>
      </c>
      <c r="M21" s="14" t="s">
        <v>48</v>
      </c>
      <c r="N21" s="13" t="s">
        <v>49</v>
      </c>
      <c r="O21" s="13" t="s">
        <v>49</v>
      </c>
      <c r="P21" s="14" t="s">
        <v>48</v>
      </c>
      <c r="Q21" s="13" t="s">
        <v>49</v>
      </c>
      <c r="R21" s="13" t="s">
        <v>49</v>
      </c>
      <c r="S21" s="14" t="s">
        <v>48</v>
      </c>
      <c r="T21" s="13" t="s">
        <v>47</v>
      </c>
      <c r="U21" s="13" t="s">
        <v>47</v>
      </c>
      <c r="V21" s="13" t="s">
        <v>49</v>
      </c>
      <c r="W21" s="13" t="s">
        <v>50</v>
      </c>
      <c r="X21" s="14" t="s">
        <v>48</v>
      </c>
      <c r="Y21" s="14" t="s">
        <v>48</v>
      </c>
      <c r="Z21" s="13"/>
      <c r="AA21" s="13" t="s">
        <v>50</v>
      </c>
      <c r="AB21" s="13"/>
      <c r="AC21" s="13"/>
      <c r="AD21" s="13"/>
      <c r="AE21" s="13" t="s">
        <v>47</v>
      </c>
      <c r="AF21" s="13" t="s">
        <v>47</v>
      </c>
      <c r="AG21" s="13" t="s">
        <v>50</v>
      </c>
      <c r="AH21" s="13" t="s">
        <v>73</v>
      </c>
      <c r="AI21" s="13" t="s">
        <v>61</v>
      </c>
      <c r="AJ21" s="13"/>
      <c r="AK21" s="13" t="s">
        <v>96</v>
      </c>
      <c r="AL21" s="14" t="s">
        <v>48</v>
      </c>
      <c r="AM21" s="13">
        <v>5</v>
      </c>
      <c r="AN21" s="16"/>
    </row>
    <row r="22" ht="15" customHeight="1" spans="1:40" x14ac:dyDescent="0.25">
      <c r="A22" s="13">
        <v>20</v>
      </c>
      <c r="B22" s="13" t="s">
        <v>53</v>
      </c>
      <c r="C22" s="13">
        <v>56</v>
      </c>
      <c r="D22" s="14" t="s">
        <v>48</v>
      </c>
      <c r="E22" s="13" t="s">
        <v>49</v>
      </c>
      <c r="F22" s="13" t="s">
        <v>49</v>
      </c>
      <c r="G22" s="13" t="s">
        <v>49</v>
      </c>
      <c r="H22" s="13" t="s">
        <v>49</v>
      </c>
      <c r="I22" s="14" t="s">
        <v>48</v>
      </c>
      <c r="J22" s="13" t="s">
        <v>49</v>
      </c>
      <c r="K22" s="13" t="s">
        <v>47</v>
      </c>
      <c r="L22" s="13" t="s">
        <v>49</v>
      </c>
      <c r="M22" s="14" t="s">
        <v>48</v>
      </c>
      <c r="N22" s="13" t="s">
        <v>49</v>
      </c>
      <c r="O22" s="13" t="s">
        <v>49</v>
      </c>
      <c r="P22" s="13" t="s">
        <v>49</v>
      </c>
      <c r="Q22" s="13" t="s">
        <v>49</v>
      </c>
      <c r="R22" s="13" t="s">
        <v>49</v>
      </c>
      <c r="S22" s="13" t="s">
        <v>49</v>
      </c>
      <c r="T22" s="13" t="s">
        <v>49</v>
      </c>
      <c r="U22" s="13" t="s">
        <v>49</v>
      </c>
      <c r="V22" s="13" t="s">
        <v>49</v>
      </c>
      <c r="W22" s="13" t="s">
        <v>50</v>
      </c>
      <c r="X22" s="13" t="s">
        <v>47</v>
      </c>
      <c r="Y22" s="13" t="s">
        <v>47</v>
      </c>
      <c r="Z22" s="13"/>
      <c r="AA22" s="13" t="s">
        <v>50</v>
      </c>
      <c r="AB22" s="13"/>
      <c r="AC22" s="13"/>
      <c r="AD22" s="13"/>
      <c r="AE22" s="13" t="s">
        <v>47</v>
      </c>
      <c r="AF22" s="14" t="s">
        <v>48</v>
      </c>
      <c r="AG22" s="13" t="s">
        <v>50</v>
      </c>
      <c r="AH22" s="13" t="s">
        <v>97</v>
      </c>
      <c r="AI22" s="13" t="s">
        <v>61</v>
      </c>
      <c r="AJ22" s="13"/>
      <c r="AK22" s="13" t="s">
        <v>98</v>
      </c>
      <c r="AL22" s="14" t="s">
        <v>48</v>
      </c>
      <c r="AM22" s="13"/>
      <c r="AN22" s="15" t="s">
        <v>99</v>
      </c>
    </row>
    <row r="23" ht="15" customHeight="1" spans="1:40" x14ac:dyDescent="0.25">
      <c r="A23" s="13">
        <v>21</v>
      </c>
      <c r="B23" s="13" t="s">
        <v>53</v>
      </c>
      <c r="C23" s="13">
        <v>64</v>
      </c>
      <c r="D23" s="13" t="s">
        <v>47</v>
      </c>
      <c r="E23" s="13" t="s">
        <v>47</v>
      </c>
      <c r="F23" s="13" t="s">
        <v>47</v>
      </c>
      <c r="G23" s="13" t="s">
        <v>47</v>
      </c>
      <c r="H23" s="13" t="s">
        <v>47</v>
      </c>
      <c r="I23" s="13" t="s">
        <v>47</v>
      </c>
      <c r="J23" s="13" t="s">
        <v>47</v>
      </c>
      <c r="K23" s="13" t="s">
        <v>47</v>
      </c>
      <c r="L23" s="13" t="s">
        <v>47</v>
      </c>
      <c r="M23" s="13" t="s">
        <v>47</v>
      </c>
      <c r="N23" s="13" t="s">
        <v>47</v>
      </c>
      <c r="O23" s="14" t="s">
        <v>48</v>
      </c>
      <c r="P23" s="13" t="s">
        <v>47</v>
      </c>
      <c r="Q23" s="13" t="s">
        <v>47</v>
      </c>
      <c r="R23" s="13" t="s">
        <v>47</v>
      </c>
      <c r="S23" s="14" t="s">
        <v>48</v>
      </c>
      <c r="T23" s="13" t="s">
        <v>47</v>
      </c>
      <c r="U23" s="13" t="s">
        <v>47</v>
      </c>
      <c r="V23" s="13" t="s">
        <v>47</v>
      </c>
      <c r="W23" s="13" t="s">
        <v>50</v>
      </c>
      <c r="X23" s="13" t="s">
        <v>47</v>
      </c>
      <c r="Y23" s="13" t="s">
        <v>47</v>
      </c>
      <c r="Z23" s="13"/>
      <c r="AA23" s="13" t="s">
        <v>50</v>
      </c>
      <c r="AB23" s="13"/>
      <c r="AC23" s="13"/>
      <c r="AD23" s="13"/>
      <c r="AE23" s="13" t="s">
        <v>47</v>
      </c>
      <c r="AF23" s="13" t="s">
        <v>47</v>
      </c>
      <c r="AG23" s="13" t="s">
        <v>50</v>
      </c>
      <c r="AH23" s="13" t="s">
        <v>100</v>
      </c>
      <c r="AI23" s="13" t="s">
        <v>61</v>
      </c>
      <c r="AJ23" s="13"/>
      <c r="AK23" s="13" t="s">
        <v>101</v>
      </c>
      <c r="AL23" s="14" t="s">
        <v>48</v>
      </c>
      <c r="AM23" s="13">
        <v>6</v>
      </c>
      <c r="AN23" s="16"/>
    </row>
    <row r="24" ht="15" customHeight="1" spans="1:40" x14ac:dyDescent="0.25">
      <c r="A24" s="13">
        <v>22</v>
      </c>
      <c r="B24" s="13" t="s">
        <v>46</v>
      </c>
      <c r="C24" s="13">
        <v>54</v>
      </c>
      <c r="D24" s="14" t="s">
        <v>48</v>
      </c>
      <c r="E24" s="13" t="s">
        <v>47</v>
      </c>
      <c r="F24" s="13" t="s">
        <v>47</v>
      </c>
      <c r="G24" s="14" t="s">
        <v>48</v>
      </c>
      <c r="H24" s="13" t="s">
        <v>47</v>
      </c>
      <c r="I24" s="13" t="s">
        <v>47</v>
      </c>
      <c r="J24" s="13" t="s">
        <v>47</v>
      </c>
      <c r="K24" s="13" t="s">
        <v>47</v>
      </c>
      <c r="L24" s="13" t="s">
        <v>47</v>
      </c>
      <c r="M24" s="13" t="s">
        <v>47</v>
      </c>
      <c r="N24" s="13" t="s">
        <v>47</v>
      </c>
      <c r="O24" s="13" t="s">
        <v>47</v>
      </c>
      <c r="P24" s="14" t="s">
        <v>48</v>
      </c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49</v>
      </c>
      <c r="W24" s="13" t="s">
        <v>50</v>
      </c>
      <c r="X24" s="14" t="s">
        <v>48</v>
      </c>
      <c r="Y24" s="14" t="s">
        <v>48</v>
      </c>
      <c r="Z24" s="13">
        <v>102.2</v>
      </c>
      <c r="AA24" s="13" t="s">
        <v>63</v>
      </c>
      <c r="AB24" s="13"/>
      <c r="AC24" s="13"/>
      <c r="AD24" s="13"/>
      <c r="AE24" s="13" t="s">
        <v>47</v>
      </c>
      <c r="AF24" s="13" t="s">
        <v>47</v>
      </c>
      <c r="AG24" s="13" t="s">
        <v>50</v>
      </c>
      <c r="AH24" s="13" t="s">
        <v>85</v>
      </c>
      <c r="AI24" s="13" t="s">
        <v>61</v>
      </c>
      <c r="AJ24" s="13"/>
      <c r="AK24" s="13" t="s">
        <v>102</v>
      </c>
      <c r="AL24" s="14" t="s">
        <v>48</v>
      </c>
      <c r="AM24" s="13">
        <v>1</v>
      </c>
      <c r="AN24" s="15" t="s">
        <v>103</v>
      </c>
    </row>
    <row r="25" spans="1:40" x14ac:dyDescent="0.25">
      <c r="A25" s="13">
        <v>23</v>
      </c>
      <c r="B25" s="13" t="s">
        <v>53</v>
      </c>
      <c r="C25" s="13">
        <v>85</v>
      </c>
      <c r="D25" s="13" t="s">
        <v>49</v>
      </c>
      <c r="E25" s="13" t="s">
        <v>47</v>
      </c>
      <c r="F25" s="13" t="s">
        <v>47</v>
      </c>
      <c r="G25" s="13" t="s">
        <v>47</v>
      </c>
      <c r="H25" s="13" t="s">
        <v>47</v>
      </c>
      <c r="I25" s="13" t="s">
        <v>47</v>
      </c>
      <c r="J25" s="13" t="s">
        <v>47</v>
      </c>
      <c r="K25" s="13" t="s">
        <v>47</v>
      </c>
      <c r="L25" s="13" t="s">
        <v>47</v>
      </c>
      <c r="M25" s="13" t="s">
        <v>47</v>
      </c>
      <c r="N25" s="13" t="s">
        <v>47</v>
      </c>
      <c r="O25" s="13" t="s">
        <v>47</v>
      </c>
      <c r="P25" s="13" t="s">
        <v>47</v>
      </c>
      <c r="Q25" s="13" t="s">
        <v>47</v>
      </c>
      <c r="R25" s="13" t="s">
        <v>47</v>
      </c>
      <c r="S25" s="13" t="s">
        <v>47</v>
      </c>
      <c r="T25" s="13" t="s">
        <v>47</v>
      </c>
      <c r="U25" s="13" t="s">
        <v>47</v>
      </c>
      <c r="V25" s="14" t="s">
        <v>48</v>
      </c>
      <c r="W25" s="13" t="s">
        <v>50</v>
      </c>
      <c r="X25" s="13" t="s">
        <v>47</v>
      </c>
      <c r="Y25" s="13" t="s">
        <v>47</v>
      </c>
      <c r="Z25" s="13"/>
      <c r="AA25" s="13" t="s">
        <v>50</v>
      </c>
      <c r="AB25" s="13"/>
      <c r="AC25" s="13"/>
      <c r="AD25" s="13"/>
      <c r="AE25" s="13" t="s">
        <v>47</v>
      </c>
      <c r="AF25" s="13" t="s">
        <v>47</v>
      </c>
      <c r="AG25" s="13" t="s">
        <v>50</v>
      </c>
      <c r="AH25" s="13" t="s">
        <v>104</v>
      </c>
      <c r="AI25" s="13" t="s">
        <v>66</v>
      </c>
      <c r="AJ25" s="13"/>
      <c r="AK25" s="13" t="s">
        <v>105</v>
      </c>
      <c r="AL25" s="14" t="s">
        <v>48</v>
      </c>
      <c r="AM25" s="13">
        <v>6</v>
      </c>
      <c r="AN25" s="15" t="s">
        <v>106</v>
      </c>
    </row>
    <row r="26" ht="15" customHeight="1" spans="1:40" x14ac:dyDescent="0.25">
      <c r="A26" s="13">
        <v>24</v>
      </c>
      <c r="B26" s="13" t="s">
        <v>53</v>
      </c>
      <c r="C26" s="13">
        <v>48</v>
      </c>
      <c r="D26" s="14" t="s">
        <v>48</v>
      </c>
      <c r="E26" s="13" t="s">
        <v>47</v>
      </c>
      <c r="F26" s="14" t="s">
        <v>48</v>
      </c>
      <c r="G26" s="13" t="s">
        <v>49</v>
      </c>
      <c r="H26" s="13" t="s">
        <v>47</v>
      </c>
      <c r="I26" s="13" t="s">
        <v>47</v>
      </c>
      <c r="J26" s="13" t="s">
        <v>47</v>
      </c>
      <c r="K26" s="13" t="s">
        <v>47</v>
      </c>
      <c r="L26" s="13" t="s">
        <v>47</v>
      </c>
      <c r="M26" s="13" t="s">
        <v>47</v>
      </c>
      <c r="N26" s="13" t="s">
        <v>47</v>
      </c>
      <c r="O26" s="13" t="s">
        <v>47</v>
      </c>
      <c r="P26" s="13" t="s">
        <v>47</v>
      </c>
      <c r="Q26" s="14" t="s">
        <v>48</v>
      </c>
      <c r="R26" s="13" t="s">
        <v>47</v>
      </c>
      <c r="S26" s="13" t="s">
        <v>47</v>
      </c>
      <c r="T26" s="13" t="s">
        <v>47</v>
      </c>
      <c r="U26" s="13" t="s">
        <v>47</v>
      </c>
      <c r="V26" s="14" t="s">
        <v>48</v>
      </c>
      <c r="W26" s="13" t="s">
        <v>58</v>
      </c>
      <c r="X26" s="13" t="s">
        <v>49</v>
      </c>
      <c r="Y26" s="13" t="s">
        <v>49</v>
      </c>
      <c r="Z26" s="13">
        <v>60</v>
      </c>
      <c r="AA26" s="13" t="s">
        <v>63</v>
      </c>
      <c r="AB26" s="13"/>
      <c r="AC26" s="13"/>
      <c r="AD26" s="13"/>
      <c r="AE26" s="13" t="s">
        <v>47</v>
      </c>
      <c r="AF26" s="13" t="s">
        <v>47</v>
      </c>
      <c r="AG26" s="13" t="s">
        <v>50</v>
      </c>
      <c r="AH26" s="13" t="s">
        <v>107</v>
      </c>
      <c r="AI26" s="13" t="s">
        <v>61</v>
      </c>
      <c r="AJ26" s="13"/>
      <c r="AK26" s="13" t="s">
        <v>108</v>
      </c>
      <c r="AL26" s="14" t="s">
        <v>48</v>
      </c>
      <c r="AM26" s="13">
        <v>12</v>
      </c>
      <c r="AN26" s="16"/>
    </row>
    <row r="27" ht="15" customHeight="1" spans="1:40" x14ac:dyDescent="0.25">
      <c r="A27" s="13">
        <v>25</v>
      </c>
      <c r="B27" s="13" t="s">
        <v>53</v>
      </c>
      <c r="C27" s="13"/>
      <c r="D27" s="14" t="s">
        <v>48</v>
      </c>
      <c r="E27" s="13" t="s">
        <v>47</v>
      </c>
      <c r="F27" s="14" t="s">
        <v>48</v>
      </c>
      <c r="G27" s="14" t="s">
        <v>48</v>
      </c>
      <c r="H27" s="13" t="s">
        <v>47</v>
      </c>
      <c r="I27" s="13" t="s">
        <v>47</v>
      </c>
      <c r="J27" s="13" t="s">
        <v>47</v>
      </c>
      <c r="K27" s="14" t="s">
        <v>48</v>
      </c>
      <c r="L27" s="13" t="s">
        <v>47</v>
      </c>
      <c r="M27" s="13" t="s">
        <v>47</v>
      </c>
      <c r="N27" s="13" t="s">
        <v>47</v>
      </c>
      <c r="O27" s="13" t="s">
        <v>47</v>
      </c>
      <c r="P27" s="13" t="s">
        <v>47</v>
      </c>
      <c r="Q27" s="13" t="s">
        <v>47</v>
      </c>
      <c r="R27" s="13" t="s">
        <v>47</v>
      </c>
      <c r="S27" s="13" t="s">
        <v>47</v>
      </c>
      <c r="T27" s="13" t="s">
        <v>47</v>
      </c>
      <c r="U27" s="13" t="s">
        <v>47</v>
      </c>
      <c r="V27" s="13" t="s">
        <v>47</v>
      </c>
      <c r="W27" s="13" t="s">
        <v>50</v>
      </c>
      <c r="X27" s="13" t="s">
        <v>47</v>
      </c>
      <c r="Y27" s="13" t="s">
        <v>47</v>
      </c>
      <c r="Z27" s="13"/>
      <c r="AA27" s="13" t="s">
        <v>50</v>
      </c>
      <c r="AB27" s="13"/>
      <c r="AC27" s="13"/>
      <c r="AD27" s="13"/>
      <c r="AE27" s="13" t="s">
        <v>47</v>
      </c>
      <c r="AF27" s="13" t="s">
        <v>47</v>
      </c>
      <c r="AG27" s="13" t="s">
        <v>50</v>
      </c>
      <c r="AH27" s="13"/>
      <c r="AI27" s="13" t="s">
        <v>50</v>
      </c>
      <c r="AJ27" s="13"/>
      <c r="AK27" s="13" t="s">
        <v>109</v>
      </c>
      <c r="AL27" s="14" t="s">
        <v>48</v>
      </c>
      <c r="AM27" s="13"/>
      <c r="AN27" s="15" t="s">
        <v>110</v>
      </c>
    </row>
    <row r="28" ht="15" customHeight="1" spans="1:40" x14ac:dyDescent="0.25">
      <c r="A28" s="13">
        <v>26</v>
      </c>
      <c r="B28" s="13" t="s">
        <v>53</v>
      </c>
      <c r="C28" s="13">
        <v>66</v>
      </c>
      <c r="D28" s="13" t="s">
        <v>49</v>
      </c>
      <c r="E28" s="13" t="s">
        <v>49</v>
      </c>
      <c r="F28" s="14" t="s">
        <v>48</v>
      </c>
      <c r="G28" s="13" t="s">
        <v>49</v>
      </c>
      <c r="H28" s="13" t="s">
        <v>49</v>
      </c>
      <c r="I28" s="14" t="s">
        <v>48</v>
      </c>
      <c r="J28" s="14" t="s">
        <v>48</v>
      </c>
      <c r="K28" s="13" t="s">
        <v>49</v>
      </c>
      <c r="L28" s="13" t="s">
        <v>47</v>
      </c>
      <c r="M28" s="13" t="s">
        <v>47</v>
      </c>
      <c r="N28" s="13" t="s">
        <v>47</v>
      </c>
      <c r="O28" s="13" t="s">
        <v>47</v>
      </c>
      <c r="P28" s="13" t="s">
        <v>47</v>
      </c>
      <c r="Q28" s="13" t="s">
        <v>47</v>
      </c>
      <c r="R28" s="13" t="s">
        <v>47</v>
      </c>
      <c r="S28" s="13" t="s">
        <v>47</v>
      </c>
      <c r="T28" s="13" t="s">
        <v>47</v>
      </c>
      <c r="U28" s="13" t="s">
        <v>47</v>
      </c>
      <c r="V28" s="13" t="s">
        <v>47</v>
      </c>
      <c r="W28" s="13" t="s">
        <v>50</v>
      </c>
      <c r="X28" s="13" t="s">
        <v>49</v>
      </c>
      <c r="Y28" s="13" t="s">
        <v>49</v>
      </c>
      <c r="Z28" s="13"/>
      <c r="AA28" s="13" t="s">
        <v>50</v>
      </c>
      <c r="AB28" s="13"/>
      <c r="AC28" s="13"/>
      <c r="AD28" s="13"/>
      <c r="AE28" s="13" t="s">
        <v>47</v>
      </c>
      <c r="AF28" s="13" t="s">
        <v>47</v>
      </c>
      <c r="AG28" s="13" t="s">
        <v>50</v>
      </c>
      <c r="AH28" s="13" t="s">
        <v>111</v>
      </c>
      <c r="AI28" s="13" t="s">
        <v>112</v>
      </c>
      <c r="AJ28" s="13"/>
      <c r="AK28" s="13" t="s">
        <v>113</v>
      </c>
      <c r="AL28" s="14" t="s">
        <v>48</v>
      </c>
      <c r="AM28" s="13">
        <v>2</v>
      </c>
      <c r="AN28" s="16"/>
    </row>
    <row r="29" spans="1:40" x14ac:dyDescent="0.25">
      <c r="A29" s="13">
        <v>27</v>
      </c>
      <c r="B29" s="13" t="s">
        <v>46</v>
      </c>
      <c r="C29" s="13">
        <v>35</v>
      </c>
      <c r="D29" s="13" t="s">
        <v>49</v>
      </c>
      <c r="E29" s="13" t="s">
        <v>49</v>
      </c>
      <c r="F29" s="13" t="s">
        <v>49</v>
      </c>
      <c r="G29" s="13" t="s">
        <v>49</v>
      </c>
      <c r="H29" s="13" t="s">
        <v>49</v>
      </c>
      <c r="I29" s="13" t="s">
        <v>49</v>
      </c>
      <c r="J29" s="13" t="s">
        <v>49</v>
      </c>
      <c r="K29" s="13" t="s">
        <v>49</v>
      </c>
      <c r="L29" s="13" t="s">
        <v>49</v>
      </c>
      <c r="M29" s="13" t="s">
        <v>49</v>
      </c>
      <c r="N29" s="13" t="s">
        <v>49</v>
      </c>
      <c r="O29" s="13" t="s">
        <v>49</v>
      </c>
      <c r="P29" s="14" t="s">
        <v>48</v>
      </c>
      <c r="Q29" s="13" t="s">
        <v>49</v>
      </c>
      <c r="R29" s="13" t="s">
        <v>49</v>
      </c>
      <c r="S29" s="14" t="s">
        <v>48</v>
      </c>
      <c r="T29" s="13" t="s">
        <v>49</v>
      </c>
      <c r="U29" s="13" t="s">
        <v>49</v>
      </c>
      <c r="V29" s="13" t="s">
        <v>49</v>
      </c>
      <c r="W29" s="13" t="s">
        <v>50</v>
      </c>
      <c r="X29" s="14" t="s">
        <v>48</v>
      </c>
      <c r="Y29" s="14" t="s">
        <v>48</v>
      </c>
      <c r="Z29" s="13"/>
      <c r="AA29" s="13" t="s">
        <v>50</v>
      </c>
      <c r="AB29" s="13"/>
      <c r="AC29" s="13"/>
      <c r="AD29" s="13"/>
      <c r="AE29" s="13" t="s">
        <v>47</v>
      </c>
      <c r="AF29" s="13" t="s">
        <v>47</v>
      </c>
      <c r="AG29" s="13" t="s">
        <v>50</v>
      </c>
      <c r="AH29" s="13" t="s">
        <v>89</v>
      </c>
      <c r="AI29" s="13" t="s">
        <v>61</v>
      </c>
      <c r="AJ29" s="13"/>
      <c r="AK29" s="13" t="s">
        <v>114</v>
      </c>
      <c r="AL29" s="14" t="s">
        <v>48</v>
      </c>
      <c r="AM29" s="13"/>
      <c r="AN29" s="15" t="s">
        <v>115</v>
      </c>
    </row>
    <row r="30" spans="1:40" x14ac:dyDescent="0.25">
      <c r="A30" s="13">
        <v>28</v>
      </c>
      <c r="B30" s="13" t="s">
        <v>46</v>
      </c>
      <c r="C30" s="13">
        <v>47</v>
      </c>
      <c r="D30" s="13" t="s">
        <v>47</v>
      </c>
      <c r="E30" s="13" t="s">
        <v>47</v>
      </c>
      <c r="F30" s="13" t="s">
        <v>47</v>
      </c>
      <c r="G30" s="14" t="s">
        <v>48</v>
      </c>
      <c r="H30" s="13" t="s">
        <v>49</v>
      </c>
      <c r="I30" s="14" t="s">
        <v>48</v>
      </c>
      <c r="J30" s="14" t="s">
        <v>48</v>
      </c>
      <c r="K30" s="13" t="s">
        <v>47</v>
      </c>
      <c r="L30" s="13" t="s">
        <v>47</v>
      </c>
      <c r="M30" s="14" t="s">
        <v>48</v>
      </c>
      <c r="N30" s="13" t="s">
        <v>47</v>
      </c>
      <c r="O30" s="13" t="s">
        <v>47</v>
      </c>
      <c r="P30" s="14" t="s">
        <v>48</v>
      </c>
      <c r="Q30" s="13" t="s">
        <v>47</v>
      </c>
      <c r="R30" s="13" t="s">
        <v>47</v>
      </c>
      <c r="S30" s="14" t="s">
        <v>48</v>
      </c>
      <c r="T30" s="13" t="s">
        <v>49</v>
      </c>
      <c r="U30" s="13" t="s">
        <v>47</v>
      </c>
      <c r="V30" s="13" t="s">
        <v>47</v>
      </c>
      <c r="W30" s="13" t="s">
        <v>50</v>
      </c>
      <c r="X30" s="13" t="s">
        <v>47</v>
      </c>
      <c r="Y30" s="13" t="s">
        <v>47</v>
      </c>
      <c r="Z30" s="13"/>
      <c r="AA30" s="13" t="s">
        <v>50</v>
      </c>
      <c r="AB30" s="13"/>
      <c r="AC30" s="13"/>
      <c r="AD30" s="13"/>
      <c r="AE30" s="13" t="s">
        <v>47</v>
      </c>
      <c r="AF30" s="13" t="s">
        <v>47</v>
      </c>
      <c r="AG30" s="13" t="s">
        <v>50</v>
      </c>
      <c r="AH30" s="13" t="s">
        <v>116</v>
      </c>
      <c r="AI30" s="13" t="s">
        <v>61</v>
      </c>
      <c r="AJ30" s="13"/>
      <c r="AK30" s="13" t="s">
        <v>117</v>
      </c>
      <c r="AL30" s="14" t="s">
        <v>48</v>
      </c>
      <c r="AM30" s="13">
        <v>4</v>
      </c>
      <c r="AN30" s="15" t="s">
        <v>118</v>
      </c>
    </row>
    <row r="31" ht="15" customHeight="1" spans="1:40" x14ac:dyDescent="0.25">
      <c r="A31" s="13">
        <v>29</v>
      </c>
      <c r="B31" s="13" t="s">
        <v>46</v>
      </c>
      <c r="C31" s="13">
        <v>56</v>
      </c>
      <c r="D31" s="13" t="s">
        <v>47</v>
      </c>
      <c r="E31" s="13" t="s">
        <v>47</v>
      </c>
      <c r="F31" s="13" t="s">
        <v>47</v>
      </c>
      <c r="G31" s="14" t="s">
        <v>48</v>
      </c>
      <c r="H31" s="13" t="s">
        <v>47</v>
      </c>
      <c r="I31" s="13" t="s">
        <v>47</v>
      </c>
      <c r="J31" s="13" t="s">
        <v>47</v>
      </c>
      <c r="K31" s="13" t="s">
        <v>47</v>
      </c>
      <c r="L31" s="13" t="s">
        <v>47</v>
      </c>
      <c r="M31" s="13" t="s">
        <v>47</v>
      </c>
      <c r="N31" s="13" t="s">
        <v>47</v>
      </c>
      <c r="O31" s="13" t="s">
        <v>47</v>
      </c>
      <c r="P31" s="13" t="s">
        <v>47</v>
      </c>
      <c r="Q31" s="13" t="s">
        <v>47</v>
      </c>
      <c r="R31" s="13" t="s">
        <v>47</v>
      </c>
      <c r="S31" s="13" t="s">
        <v>47</v>
      </c>
      <c r="T31" s="13" t="s">
        <v>47</v>
      </c>
      <c r="U31" s="13" t="s">
        <v>47</v>
      </c>
      <c r="V31" s="13" t="s">
        <v>47</v>
      </c>
      <c r="W31" s="13" t="s">
        <v>50</v>
      </c>
      <c r="X31" s="14" t="s">
        <v>48</v>
      </c>
      <c r="Y31" s="14" t="s">
        <v>48</v>
      </c>
      <c r="Z31" s="13"/>
      <c r="AA31" s="13" t="s">
        <v>50</v>
      </c>
      <c r="AB31" s="13"/>
      <c r="AC31" s="13"/>
      <c r="AD31" s="13"/>
      <c r="AE31" s="13" t="s">
        <v>47</v>
      </c>
      <c r="AF31" s="13" t="s">
        <v>47</v>
      </c>
      <c r="AG31" s="13" t="s">
        <v>50</v>
      </c>
      <c r="AH31" s="13"/>
      <c r="AI31" s="13" t="s">
        <v>50</v>
      </c>
      <c r="AJ31" s="13"/>
      <c r="AK31" s="13" t="s">
        <v>51</v>
      </c>
      <c r="AL31" s="13" t="s">
        <v>49</v>
      </c>
      <c r="AM31" s="13">
        <v>1</v>
      </c>
      <c r="AN31" s="15" t="s">
        <v>119</v>
      </c>
    </row>
    <row r="32" ht="15" customHeight="1" spans="1:40" x14ac:dyDescent="0.25">
      <c r="A32" s="13">
        <v>30</v>
      </c>
      <c r="B32" s="13" t="s">
        <v>53</v>
      </c>
      <c r="C32" s="13">
        <v>55</v>
      </c>
      <c r="D32" s="13" t="s">
        <v>47</v>
      </c>
      <c r="E32" s="14" t="s">
        <v>48</v>
      </c>
      <c r="F32" s="14" t="s">
        <v>48</v>
      </c>
      <c r="G32" s="13" t="s">
        <v>47</v>
      </c>
      <c r="H32" s="13" t="s">
        <v>47</v>
      </c>
      <c r="I32" s="13" t="s">
        <v>47</v>
      </c>
      <c r="J32" s="13" t="s">
        <v>47</v>
      </c>
      <c r="K32" s="13" t="s">
        <v>47</v>
      </c>
      <c r="L32" s="13" t="s">
        <v>47</v>
      </c>
      <c r="M32" s="13" t="s">
        <v>47</v>
      </c>
      <c r="N32" s="14" t="s">
        <v>48</v>
      </c>
      <c r="O32" s="13" t="s">
        <v>47</v>
      </c>
      <c r="P32" s="13" t="s">
        <v>47</v>
      </c>
      <c r="Q32" s="13" t="s">
        <v>47</v>
      </c>
      <c r="R32" s="13" t="s">
        <v>47</v>
      </c>
      <c r="S32" s="13" t="s">
        <v>47</v>
      </c>
      <c r="T32" s="13" t="s">
        <v>47</v>
      </c>
      <c r="U32" s="13" t="s">
        <v>47</v>
      </c>
      <c r="V32" s="13" t="s">
        <v>47</v>
      </c>
      <c r="W32" s="13" t="s">
        <v>50</v>
      </c>
      <c r="X32" s="13" t="s">
        <v>47</v>
      </c>
      <c r="Y32" s="13" t="s">
        <v>47</v>
      </c>
      <c r="Z32" s="13"/>
      <c r="AA32" s="13" t="s">
        <v>50</v>
      </c>
      <c r="AB32" s="13"/>
      <c r="AC32" s="13"/>
      <c r="AD32" s="13"/>
      <c r="AE32" s="13" t="s">
        <v>47</v>
      </c>
      <c r="AF32" s="13" t="s">
        <v>47</v>
      </c>
      <c r="AG32" s="13" t="s">
        <v>50</v>
      </c>
      <c r="AH32" s="13"/>
      <c r="AI32" s="13" t="s">
        <v>50</v>
      </c>
      <c r="AJ32" s="13"/>
      <c r="AK32" s="13" t="s">
        <v>120</v>
      </c>
      <c r="AL32" s="13" t="s">
        <v>49</v>
      </c>
      <c r="AM32" s="13">
        <v>5</v>
      </c>
      <c r="AN32" s="15" t="s">
        <v>121</v>
      </c>
    </row>
  </sheetData>
  <mergeCells count="5">
    <mergeCell ref="A1:C1"/>
    <mergeCell ref="D1:V1"/>
    <mergeCell ref="W1:AF1"/>
    <mergeCell ref="AG1:AJ1"/>
    <mergeCell ref="AK1:AM1"/>
  </mergeCells>
  <dataValidations count="7">
    <dataValidation type="list" sqref="AE10:AF200">
      <formula1>"Yes,No,Not checked"</formula1>
    </dataValidation>
    <dataValidation type="list" sqref="AE3:AF200">
      <formula1>"Yes,No,Not checked"</formula1>
    </dataValidation>
    <dataValidation type="list" sqref="AL3:AL200">
      <formula1>"Yes,No,Uncertain"</formula1>
    </dataValidation>
    <dataValidation type="list" sqref="D10:V200">
      <formula1>"Yes,No,Not checked"</formula1>
    </dataValidation>
    <dataValidation type="list" sqref="D3:V200">
      <formula1>"Yes,No,Not checked"</formula1>
    </dataValidation>
    <dataValidation type="list" sqref="X10:Y200">
      <formula1>"Yes,No,Not checked"</formula1>
    </dataValidation>
    <dataValidation type="list" sqref="X3:Y200">
      <formula1>"Yes,No,Not checked"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38" customWidth="1"/>
    <col min="2" max="7" width="16" customWidth="1"/>
    <col min="8" max="24" width="13.571428571428571" customWidth="1"/>
  </cols>
  <sheetData>
    <row r="1" ht="39.75" customHeight="1" spans="1:7" x14ac:dyDescent="0.25">
      <c r="A1" s="17" t="s">
        <v>122</v>
      </c>
      <c r="B1" s="17" t="s">
        <v>123</v>
      </c>
      <c r="C1" s="17" t="s">
        <v>124</v>
      </c>
      <c r="D1" s="17" t="s">
        <v>125</v>
      </c>
      <c r="E1" s="17" t="s">
        <v>126</v>
      </c>
      <c r="F1" s="17" t="s">
        <v>127</v>
      </c>
      <c r="G1" s="17" t="s">
        <v>128</v>
      </c>
    </row>
    <row r="2" ht="15" customHeight="1" spans="1:7" x14ac:dyDescent="0.25">
      <c r="A2" s="18" t="s">
        <v>9</v>
      </c>
      <c r="B2" s="18">
        <f>COUNTIFS('Clean cases'!$D$3:$D$32,"Yes",'Clean cases'!$AL$3:$AL$32,"Yes")</f>
      </c>
      <c r="C2" s="18">
        <f>COUNTIFS('Clean cases'!$D$3:$D$32,"&lt;&gt;Not checked",'Clean cases'!$AL$3:$AL$32,"Yes")</f>
      </c>
      <c r="D2" s="19">
        <f>IF(C2=0,"-",B2/C2)</f>
      </c>
      <c r="E2" s="18">
        <f>COUNTIFS('Clean cases'!$D$3:$D$32,"Yes",'Clean cases'!$AL$3:$AL$32,"No")</f>
      </c>
      <c r="F2" s="18">
        <f>COUNTIFS('Clean cases'!$D$3:$D$32,"&lt;&gt;Not checked",'Clean cases'!$AL$3:$AL$32,"No")</f>
      </c>
      <c r="G2" s="19">
        <f>IF(F2=0,"-",E2/F2)</f>
      </c>
    </row>
    <row r="3" ht="15" customHeight="1" spans="1:7" x14ac:dyDescent="0.25">
      <c r="A3" s="18" t="s">
        <v>10</v>
      </c>
      <c r="B3" s="18">
        <f>COUNTIFS('Clean cases'!$E$3:$E$32,"Yes",'Clean cases'!$AL$3:$AL$32,"Yes")</f>
      </c>
      <c r="C3" s="18">
        <f>COUNTIFS('Clean cases'!$E$3:$E$32,"&lt;&gt;Not checked",'Clean cases'!$AL$3:$AL$32,"Yes")</f>
      </c>
      <c r="D3" s="19">
        <f>IF(C3=0,"-",B3/C3)</f>
      </c>
      <c r="E3" s="18">
        <f>COUNTIFS('Clean cases'!$E$3:$E$32,"Yes",'Clean cases'!$AL$3:$AL$32,"No")</f>
      </c>
      <c r="F3" s="18">
        <f>COUNTIFS('Clean cases'!$E$3:$E$32,"&lt;&gt;Not checked",'Clean cases'!$AL$3:$AL$32,"No")</f>
      </c>
      <c r="G3" s="19">
        <f>IF(F3=0,"-",E3/F3)</f>
      </c>
    </row>
    <row r="4" ht="15" customHeight="1" spans="1:7" x14ac:dyDescent="0.25">
      <c r="A4" s="18" t="s">
        <v>11</v>
      </c>
      <c r="B4" s="18">
        <f>COUNTIFS('Clean cases'!$F$3:$F$32,"Yes",'Clean cases'!$AL$3:$AL$32,"Yes")</f>
      </c>
      <c r="C4" s="18">
        <f>COUNTIFS('Clean cases'!$F$3:$F$32,"&lt;&gt;Not checked",'Clean cases'!$AL$3:$AL$32,"Yes")</f>
      </c>
      <c r="D4" s="19">
        <f>IF(C4=0,"-",B4/C4)</f>
      </c>
      <c r="E4" s="18">
        <f>COUNTIFS('Clean cases'!$F$3:$F$32,"Yes",'Clean cases'!$AL$3:$AL$32,"No")</f>
      </c>
      <c r="F4" s="18">
        <f>COUNTIFS('Clean cases'!$F$3:$F$32,"&lt;&gt;Not checked",'Clean cases'!$AL$3:$AL$32,"No")</f>
      </c>
      <c r="G4" s="19">
        <f>IF(F4=0,"-",E4/F4)</f>
      </c>
    </row>
    <row r="5" ht="15" customHeight="1" spans="1:7" x14ac:dyDescent="0.25">
      <c r="A5" s="18" t="s">
        <v>12</v>
      </c>
      <c r="B5" s="18">
        <f>COUNTIFS('Clean cases'!$G$3:$G$32,"Yes",'Clean cases'!$AL$3:$AL$32,"Yes")</f>
      </c>
      <c r="C5" s="18">
        <f>COUNTIFS('Clean cases'!$G$3:$G$32,"&lt;&gt;Not checked",'Clean cases'!$AL$3:$AL$32,"Yes")</f>
      </c>
      <c r="D5" s="19">
        <f>IF(C5=0,"-",B5/C5)</f>
      </c>
      <c r="E5" s="18">
        <f>COUNTIFS('Clean cases'!$G$3:$G$32,"Yes",'Clean cases'!$AL$3:$AL$32,"No")</f>
      </c>
      <c r="F5" s="18">
        <f>COUNTIFS('Clean cases'!$G$3:$G$32,"&lt;&gt;Not checked",'Clean cases'!$AL$3:$AL$32,"No")</f>
      </c>
      <c r="G5" s="19">
        <f>IF(F5=0,"-",E5/F5)</f>
      </c>
    </row>
    <row r="6" ht="15" customHeight="1" spans="1:7" x14ac:dyDescent="0.25">
      <c r="A6" s="18" t="s">
        <v>13</v>
      </c>
      <c r="B6" s="18">
        <f>COUNTIFS('Clean cases'!$H$3:$H$32,"Yes",'Clean cases'!$AL$3:$AL$32,"Yes")</f>
      </c>
      <c r="C6" s="18">
        <f>COUNTIFS('Clean cases'!$H$3:$H$32,"&lt;&gt;Not checked",'Clean cases'!$AL$3:$AL$32,"Yes")</f>
      </c>
      <c r="D6" s="19">
        <f>IF(C6=0,"-",B6/C6)</f>
      </c>
      <c r="E6" s="18">
        <f>COUNTIFS('Clean cases'!$H$3:$H$32,"Yes",'Clean cases'!$AL$3:$AL$32,"No")</f>
      </c>
      <c r="F6" s="18">
        <f>COUNTIFS('Clean cases'!$H$3:$H$32,"&lt;&gt;Not checked",'Clean cases'!$AL$3:$AL$32,"No")</f>
      </c>
      <c r="G6" s="19">
        <f>IF(F6=0,"-",E6/F6)</f>
      </c>
    </row>
    <row r="7" ht="15" customHeight="1" spans="1:7" x14ac:dyDescent="0.25">
      <c r="A7" s="18" t="s">
        <v>14</v>
      </c>
      <c r="B7" s="18">
        <f>COUNTIFS('Clean cases'!$I$3:$I$32,"Yes",'Clean cases'!$AL$3:$AL$32,"Yes")</f>
      </c>
      <c r="C7" s="18">
        <f>COUNTIFS('Clean cases'!$I$3:$I$32,"&lt;&gt;Not checked",'Clean cases'!$AL$3:$AL$32,"Yes")</f>
      </c>
      <c r="D7" s="19">
        <f>IF(C7=0,"-",B7/C7)</f>
      </c>
      <c r="E7" s="18">
        <f>COUNTIFS('Clean cases'!$I$3:$I$32,"Yes",'Clean cases'!$AL$3:$AL$32,"No")</f>
      </c>
      <c r="F7" s="18">
        <f>COUNTIFS('Clean cases'!$I$3:$I$32,"&lt;&gt;Not checked",'Clean cases'!$AL$3:$AL$32,"No")</f>
      </c>
      <c r="G7" s="19">
        <f>IF(F7=0,"-",E7/F7)</f>
      </c>
    </row>
    <row r="8" ht="15" customHeight="1" spans="1:7" x14ac:dyDescent="0.25">
      <c r="A8" s="18" t="s">
        <v>15</v>
      </c>
      <c r="B8" s="18">
        <f>COUNTIFS('Clean cases'!$J$3:$J$32,"Yes",'Clean cases'!$AL$3:$AL$32,"Yes")</f>
      </c>
      <c r="C8" s="18">
        <f>COUNTIFS('Clean cases'!$J$3:$J$32,"&lt;&gt;Not checked",'Clean cases'!$AL$3:$AL$32,"Yes")</f>
      </c>
      <c r="D8" s="19">
        <f>IF(C8=0,"-",B8/C8)</f>
      </c>
      <c r="E8" s="18">
        <f>COUNTIFS('Clean cases'!$J$3:$J$32,"Yes",'Clean cases'!$AL$3:$AL$32,"No")</f>
      </c>
      <c r="F8" s="18">
        <f>COUNTIFS('Clean cases'!$J$3:$J$32,"&lt;&gt;Not checked",'Clean cases'!$AL$3:$AL$32,"No")</f>
      </c>
      <c r="G8" s="19">
        <f>IF(F8=0,"-",E8/F8)</f>
      </c>
    </row>
    <row r="9" ht="15" customHeight="1" spans="1:7" x14ac:dyDescent="0.25">
      <c r="A9" s="18" t="s">
        <v>16</v>
      </c>
      <c r="B9" s="18">
        <f>COUNTIFS('Clean cases'!$K$3:$K$32,"Yes",'Clean cases'!$AL$3:$AL$32,"Yes")</f>
      </c>
      <c r="C9" s="18">
        <f>COUNTIFS('Clean cases'!$K$3:$K$32,"&lt;&gt;Not checked",'Clean cases'!$AL$3:$AL$32,"Yes")</f>
      </c>
      <c r="D9" s="19">
        <f>IF(C9=0,"-",B9/C9)</f>
      </c>
      <c r="E9" s="18">
        <f>COUNTIFS('Clean cases'!$K$3:$K$32,"Yes",'Clean cases'!$AL$3:$AL$32,"No")</f>
      </c>
      <c r="F9" s="18">
        <f>COUNTIFS('Clean cases'!$K$3:$K$32,"&lt;&gt;Not checked",'Clean cases'!$AL$3:$AL$32,"No")</f>
      </c>
      <c r="G9" s="19">
        <f>IF(F9=0,"-",E9/F9)</f>
      </c>
    </row>
    <row r="10" ht="15" customHeight="1" spans="1:7" x14ac:dyDescent="0.25">
      <c r="A10" s="18" t="s">
        <v>17</v>
      </c>
      <c r="B10" s="18">
        <f>COUNTIFS('Clean cases'!$L$3:$L$32,"Yes",'Clean cases'!$AL$3:$AL$32,"Yes")</f>
      </c>
      <c r="C10" s="18">
        <f>COUNTIFS('Clean cases'!$L$3:$L$32,"&lt;&gt;Not checked",'Clean cases'!$AL$3:$AL$32,"Yes")</f>
      </c>
      <c r="D10" s="19">
        <f>IF(C10=0,"-",B10/C10)</f>
      </c>
      <c r="E10" s="18">
        <f>COUNTIFS('Clean cases'!$L$3:$L$32,"Yes",'Clean cases'!$AL$3:$AL$32,"No")</f>
      </c>
      <c r="F10" s="18">
        <f>COUNTIFS('Clean cases'!$L$3:$L$32,"&lt;&gt;Not checked",'Clean cases'!$AL$3:$AL$32,"No")</f>
      </c>
      <c r="G10" s="19">
        <f>IF(F10=0,"-",E10/F10)</f>
      </c>
    </row>
    <row r="11" ht="15" customHeight="1" spans="1:7" x14ac:dyDescent="0.25">
      <c r="A11" s="18" t="s">
        <v>18</v>
      </c>
      <c r="B11" s="18">
        <f>COUNTIFS('Clean cases'!$M$3:$M$32,"Yes",'Clean cases'!$AL$3:$AL$32,"Yes")</f>
      </c>
      <c r="C11" s="18">
        <f>COUNTIFS('Clean cases'!$M$3:$M$32,"&lt;&gt;Not checked",'Clean cases'!$AL$3:$AL$32,"Yes")</f>
      </c>
      <c r="D11" s="19">
        <f>IF(C11=0,"-",B11/C11)</f>
      </c>
      <c r="E11" s="18">
        <f>COUNTIFS('Clean cases'!$M$3:$M$32,"Yes",'Clean cases'!$AL$3:$AL$32,"No")</f>
      </c>
      <c r="F11" s="18">
        <f>COUNTIFS('Clean cases'!$M$3:$M$32,"&lt;&gt;Not checked",'Clean cases'!$AL$3:$AL$32,"No")</f>
      </c>
      <c r="G11" s="19">
        <f>IF(F11=0,"-",E11/F11)</f>
      </c>
    </row>
    <row r="12" ht="15" customHeight="1" spans="1:7" x14ac:dyDescent="0.25">
      <c r="A12" s="18" t="s">
        <v>19</v>
      </c>
      <c r="B12" s="18">
        <f>COUNTIFS('Clean cases'!$N$3:$N$32,"Yes",'Clean cases'!$AL$3:$AL$32,"Yes")</f>
      </c>
      <c r="C12" s="18">
        <f>COUNTIFS('Clean cases'!$N$3:$N$32,"&lt;&gt;Not checked",'Clean cases'!$AL$3:$AL$32,"Yes")</f>
      </c>
      <c r="D12" s="19">
        <f>IF(C12=0,"-",B12/C12)</f>
      </c>
      <c r="E12" s="18">
        <f>COUNTIFS('Clean cases'!$N$3:$N$32,"Yes",'Clean cases'!$AL$3:$AL$32,"No")</f>
      </c>
      <c r="F12" s="18">
        <f>COUNTIFS('Clean cases'!$N$3:$N$32,"&lt;&gt;Not checked",'Clean cases'!$AL$3:$AL$32,"No")</f>
      </c>
      <c r="G12" s="19">
        <f>IF(F12=0,"-",E12/F12)</f>
      </c>
    </row>
    <row r="13" ht="15" customHeight="1" spans="1:7" x14ac:dyDescent="0.25">
      <c r="A13" s="18" t="s">
        <v>20</v>
      </c>
      <c r="B13" s="18">
        <f>COUNTIFS('Clean cases'!$O$3:$O$32,"Yes",'Clean cases'!$AL$3:$AL$32,"Yes")</f>
      </c>
      <c r="C13" s="18">
        <f>COUNTIFS('Clean cases'!$O$3:$O$32,"&lt;&gt;Not checked",'Clean cases'!$AL$3:$AL$32,"Yes")</f>
      </c>
      <c r="D13" s="19">
        <f>IF(C13=0,"-",B13/C13)</f>
      </c>
      <c r="E13" s="18">
        <f>COUNTIFS('Clean cases'!$O$3:$O$32,"Yes",'Clean cases'!$AL$3:$AL$32,"No")</f>
      </c>
      <c r="F13" s="18">
        <f>COUNTIFS('Clean cases'!$O$3:$O$32,"&lt;&gt;Not checked",'Clean cases'!$AL$3:$AL$32,"No")</f>
      </c>
      <c r="G13" s="19">
        <f>IF(F13=0,"-",E13/F13)</f>
      </c>
    </row>
    <row r="14" ht="15" customHeight="1" spans="1:7" x14ac:dyDescent="0.25">
      <c r="A14" s="18" t="s">
        <v>21</v>
      </c>
      <c r="B14" s="18">
        <f>COUNTIFS('Clean cases'!$P$3:$P$32,"Yes",'Clean cases'!$AL$3:$AL$32,"Yes")</f>
      </c>
      <c r="C14" s="18">
        <f>COUNTIFS('Clean cases'!$P$3:$P$32,"&lt;&gt;Not checked",'Clean cases'!$AL$3:$AL$32,"Yes")</f>
      </c>
      <c r="D14" s="19">
        <f>IF(C14=0,"-",B14/C14)</f>
      </c>
      <c r="E14" s="18">
        <f>COUNTIFS('Clean cases'!$P$3:$P$32,"Yes",'Clean cases'!$AL$3:$AL$32,"No")</f>
      </c>
      <c r="F14" s="18">
        <f>COUNTIFS('Clean cases'!$P$3:$P$32,"&lt;&gt;Not checked",'Clean cases'!$AL$3:$AL$32,"No")</f>
      </c>
      <c r="G14" s="19">
        <f>IF(F14=0,"-",E14/F14)</f>
      </c>
    </row>
    <row r="15" ht="15" customHeight="1" spans="1:7" x14ac:dyDescent="0.25">
      <c r="A15" s="18" t="s">
        <v>22</v>
      </c>
      <c r="B15" s="18">
        <f>COUNTIFS('Clean cases'!$Q$3:$Q$32,"Yes",'Clean cases'!$AL$3:$AL$32,"Yes")</f>
      </c>
      <c r="C15" s="18">
        <f>COUNTIFS('Clean cases'!$Q$3:$Q$32,"&lt;&gt;Not checked",'Clean cases'!$AL$3:$AL$32,"Yes")</f>
      </c>
      <c r="D15" s="19">
        <f>IF(C15=0,"-",B15/C15)</f>
      </c>
      <c r="E15" s="18">
        <f>COUNTIFS('Clean cases'!$Q$3:$Q$32,"Yes",'Clean cases'!$AL$3:$AL$32,"No")</f>
      </c>
      <c r="F15" s="18">
        <f>COUNTIFS('Clean cases'!$Q$3:$Q$32,"&lt;&gt;Not checked",'Clean cases'!$AL$3:$AL$32,"No")</f>
      </c>
      <c r="G15" s="19">
        <f>IF(F15=0,"-",E15/F15)</f>
      </c>
    </row>
    <row r="16" ht="15" customHeight="1" spans="1:7" x14ac:dyDescent="0.25">
      <c r="A16" s="18" t="s">
        <v>23</v>
      </c>
      <c r="B16" s="18">
        <f>COUNTIFS('Clean cases'!$R$3:$R$32,"Yes",'Clean cases'!$AL$3:$AL$32,"Yes")</f>
      </c>
      <c r="C16" s="18">
        <f>COUNTIFS('Clean cases'!$R$3:$R$32,"&lt;&gt;Not checked",'Clean cases'!$AL$3:$AL$32,"Yes")</f>
      </c>
      <c r="D16" s="19">
        <f>IF(C16=0,"-",B16/C16)</f>
      </c>
      <c r="E16" s="18">
        <f>COUNTIFS('Clean cases'!$R$3:$R$32,"Yes",'Clean cases'!$AL$3:$AL$32,"No")</f>
      </c>
      <c r="F16" s="18">
        <f>COUNTIFS('Clean cases'!$R$3:$R$32,"&lt;&gt;Not checked",'Clean cases'!$AL$3:$AL$32,"No")</f>
      </c>
      <c r="G16" s="19">
        <f>IF(F16=0,"-",E16/F16)</f>
      </c>
    </row>
    <row r="17" ht="15" customHeight="1" spans="1:7" x14ac:dyDescent="0.25">
      <c r="A17" s="18" t="s">
        <v>24</v>
      </c>
      <c r="B17" s="18">
        <f>COUNTIFS('Clean cases'!$S$3:$S$32,"Yes",'Clean cases'!$AL$3:$AL$32,"Yes")</f>
      </c>
      <c r="C17" s="18">
        <f>COUNTIFS('Clean cases'!$S$3:$S$32,"&lt;&gt;Not checked",'Clean cases'!$AL$3:$AL$32,"Yes")</f>
      </c>
      <c r="D17" s="19">
        <f>IF(C17=0,"-",B17/C17)</f>
      </c>
      <c r="E17" s="18">
        <f>COUNTIFS('Clean cases'!$S$3:$S$32,"Yes",'Clean cases'!$AL$3:$AL$32,"No")</f>
      </c>
      <c r="F17" s="18">
        <f>COUNTIFS('Clean cases'!$S$3:$S$32,"&lt;&gt;Not checked",'Clean cases'!$AL$3:$AL$32,"No")</f>
      </c>
      <c r="G17" s="19">
        <f>IF(F17=0,"-",E17/F17)</f>
      </c>
    </row>
    <row r="18" ht="15" customHeight="1" spans="1:7" x14ac:dyDescent="0.25">
      <c r="A18" s="18" t="s">
        <v>25</v>
      </c>
      <c r="B18" s="18">
        <f>COUNTIFS('Clean cases'!$T$3:$T$32,"Yes",'Clean cases'!$AL$3:$AL$32,"Yes")</f>
      </c>
      <c r="C18" s="18">
        <f>COUNTIFS('Clean cases'!$T$3:$T$32,"&lt;&gt;Not checked",'Clean cases'!$AL$3:$AL$32,"Yes")</f>
      </c>
      <c r="D18" s="19">
        <f>IF(C18=0,"-",B18/C18)</f>
      </c>
      <c r="E18" s="18">
        <f>COUNTIFS('Clean cases'!$T$3:$T$32,"Yes",'Clean cases'!$AL$3:$AL$32,"No")</f>
      </c>
      <c r="F18" s="18">
        <f>COUNTIFS('Clean cases'!$T$3:$T$32,"&lt;&gt;Not checked",'Clean cases'!$AL$3:$AL$32,"No")</f>
      </c>
      <c r="G18" s="19">
        <f>IF(F18=0,"-",E18/F18)</f>
      </c>
    </row>
    <row r="19" ht="15" customHeight="1" spans="1:7" x14ac:dyDescent="0.25">
      <c r="A19" s="18" t="s">
        <v>26</v>
      </c>
      <c r="B19" s="18">
        <f>COUNTIFS('Clean cases'!$U$3:$U$32,"Yes",'Clean cases'!$AL$3:$AL$32,"Yes")</f>
      </c>
      <c r="C19" s="18">
        <f>COUNTIFS('Clean cases'!$U$3:$U$32,"&lt;&gt;Not checked",'Clean cases'!$AL$3:$AL$32,"Yes")</f>
      </c>
      <c r="D19" s="19">
        <f>IF(C19=0,"-",B19/C19)</f>
      </c>
      <c r="E19" s="18">
        <f>COUNTIFS('Clean cases'!$U$3:$U$32,"Yes",'Clean cases'!$AL$3:$AL$32,"No")</f>
      </c>
      <c r="F19" s="18">
        <f>COUNTIFS('Clean cases'!$U$3:$U$32,"&lt;&gt;Not checked",'Clean cases'!$AL$3:$AL$32,"No")</f>
      </c>
      <c r="G19" s="19">
        <f>IF(F19=0,"-",E19/F19)</f>
      </c>
    </row>
    <row r="20" ht="15" customHeight="1" spans="1:7" x14ac:dyDescent="0.25">
      <c r="A20" s="18" t="s">
        <v>27</v>
      </c>
      <c r="B20" s="18">
        <f>COUNTIFS('Clean cases'!$V$3:$V$32,"Yes",'Clean cases'!$AL$3:$AL$32,"Yes")</f>
      </c>
      <c r="C20" s="18">
        <f>COUNTIFS('Clean cases'!$V$3:$V$32,"&lt;&gt;Not checked",'Clean cases'!$AL$3:$AL$32,"Yes")</f>
      </c>
      <c r="D20" s="19">
        <f>IF(C20=0,"-",B20/C20)</f>
      </c>
      <c r="E20" s="18">
        <f>COUNTIFS('Clean cases'!$V$3:$V$32,"Yes",'Clean cases'!$AL$3:$AL$32,"No")</f>
      </c>
      <c r="F20" s="18">
        <f>COUNTIFS('Clean cases'!$V$3:$V$32,"&lt;&gt;Not checked",'Clean cases'!$AL$3:$AL$32,"No")</f>
      </c>
      <c r="G20" s="19">
        <f>IF(F20=0,"-",E20/F20)</f>
      </c>
    </row>
    <row r="21" ht="15" customHeight="1" spans="1:7" x14ac:dyDescent="0.25">
      <c r="A21" s="18" t="s">
        <v>29</v>
      </c>
      <c r="B21" s="18">
        <f>COUNTIFS('Clean cases'!$X$3:$X$32,"Yes",'Clean cases'!$AL$3:$AL$32,"Yes")</f>
      </c>
      <c r="C21" s="18">
        <f>COUNTIFS('Clean cases'!$X$3:$X$32,"&lt;&gt;Not checked",'Clean cases'!$AL$3:$AL$32,"Yes")</f>
      </c>
      <c r="D21" s="19">
        <f>IF(C21=0,"-",B21/C21)</f>
      </c>
      <c r="E21" s="18">
        <f>COUNTIFS('Clean cases'!$X$3:$X$32,"Yes",'Clean cases'!$AL$3:$AL$32,"No")</f>
      </c>
      <c r="F21" s="18">
        <f>COUNTIFS('Clean cases'!$X$3:$X$32,"&lt;&gt;Not checked",'Clean cases'!$AL$3:$AL$32,"No")</f>
      </c>
      <c r="G21" s="19">
        <f>IF(F21=0,"-",E21/F21)</f>
      </c>
    </row>
    <row r="22" ht="15" customHeight="1" spans="1:7" x14ac:dyDescent="0.25">
      <c r="A22" s="18" t="s">
        <v>30</v>
      </c>
      <c r="B22" s="18">
        <f>COUNTIFS('Clean cases'!$Y$3:$Y$32,"Yes",'Clean cases'!$AL$3:$AL$32,"Yes")</f>
      </c>
      <c r="C22" s="18">
        <f>COUNTIFS('Clean cases'!$Y$3:$Y$32,"&lt;&gt;Not checked",'Clean cases'!$AL$3:$AL$32,"Yes")</f>
      </c>
      <c r="D22" s="19">
        <f>IF(C22=0,"-",B22/C22)</f>
      </c>
      <c r="E22" s="18">
        <f>COUNTIFS('Clean cases'!$Y$3:$Y$32,"Yes",'Clean cases'!$AL$3:$AL$32,"No")</f>
      </c>
      <c r="F22" s="18">
        <f>COUNTIFS('Clean cases'!$Y$3:$Y$32,"&lt;&gt;Not checked",'Clean cases'!$AL$3:$AL$32,"No")</f>
      </c>
      <c r="G22" s="19">
        <f>IF(F22=0,"-",E22/F22)</f>
      </c>
    </row>
    <row r="23" ht="15" customHeight="1" spans="1:7" x14ac:dyDescent="0.25">
      <c r="A23" s="18" t="s">
        <v>36</v>
      </c>
      <c r="B23" s="18">
        <f>COUNTIFS('Clean cases'!$AE$3:$AE$32,"Yes",'Clean cases'!$AL$3:$AL$32,"Yes")</f>
      </c>
      <c r="C23" s="18">
        <f>COUNTIFS('Clean cases'!$AE$3:$AE$32,"&lt;&gt;Not checked",'Clean cases'!$AL$3:$AL$32,"Yes")</f>
      </c>
      <c r="D23" s="19">
        <f>IF(C23=0,"-",B23/C23)</f>
      </c>
      <c r="E23" s="18">
        <f>COUNTIFS('Clean cases'!$AE$3:$AE$32,"Yes",'Clean cases'!$AL$3:$AL$32,"No")</f>
      </c>
      <c r="F23" s="18">
        <f>COUNTIFS('Clean cases'!$AE$3:$AE$32,"&lt;&gt;Not checked",'Clean cases'!$AL$3:$AL$32,"No")</f>
      </c>
      <c r="G23" s="19">
        <f>IF(F23=0,"-",E23/F23)</f>
      </c>
    </row>
    <row r="25" ht="15" customHeight="1" spans="1:2" x14ac:dyDescent="0.25">
      <c r="A25" s="20" t="s">
        <v>129</v>
      </c>
      <c r="B25" s="18">
        <f>COUNTA('Clean cases'!$AL$3:$AL$32)</f>
      </c>
    </row>
    <row r="26" ht="15" customHeight="1" spans="1:2" x14ac:dyDescent="0.25">
      <c r="A26" s="20" t="s">
        <v>130</v>
      </c>
      <c r="B26" s="18">
        <f>COUNTIF('Clean cases'!$AL$3:$AL$32,"Yes")</f>
      </c>
    </row>
    <row r="27" ht="15" customHeight="1" spans="1:2" x14ac:dyDescent="0.25">
      <c r="A27" s="20" t="s">
        <v>131</v>
      </c>
      <c r="B27" s="18">
        <f>COUNTIF('Clean cases'!$AL$3:$AL$32,"No")</f>
      </c>
    </row>
    <row r="28" ht="15" customHeight="1" spans="1:2" x14ac:dyDescent="0.25">
      <c r="A28" s="20" t="s">
        <v>132</v>
      </c>
      <c r="B28" s="21">
        <f>AVERAGEIFS('Clean cases'!$C$3:$C$32,'Clean cases'!$AL$3:$AL$32,"Yes")</f>
      </c>
    </row>
    <row r="29" ht="15" customHeight="1" spans="1:2" x14ac:dyDescent="0.25">
      <c r="A29" s="20" t="s">
        <v>133</v>
      </c>
      <c r="B29" s="18">
        <f>COUNTIFS('Clean cases'!$B$3:$B$32,"Female",'Clean cases'!$AL$3:$AL$32,"Yes")</f>
      </c>
    </row>
    <row r="30" ht="15" customHeight="1" spans="1:2" x14ac:dyDescent="0.25">
      <c r="A30" s="20" t="s">
        <v>134</v>
      </c>
      <c r="B30" s="18">
        <f>COUNTIFS('Clean cases'!$B$3:$B$32,"Male",'Clean cases'!$AL$3:$AL$32,"Yes")</f>
      </c>
    </row>
    <row r="31" ht="15" customHeight="1" spans="1:2" x14ac:dyDescent="0.25">
      <c r="A31" s="20" t="s">
        <v>135</v>
      </c>
      <c r="B31" s="21">
        <f>AVERAGEIFS('Clean cases'!$AM$3:$AM$32,'Clean cases'!$AL$3:$AL$32,"Yes")</f>
      </c>
    </row>
    <row r="33" ht="15" customHeight="1" spans="1:1" x14ac:dyDescent="0.25">
      <c r="A33" s="2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FormatPr defaultRowHeight="15" outlineLevelRow="0" outlineLevelCol="0" x14ac:dyDescent="55"/>
  <cols>
    <col min="1" max="49" width="13.571428571428571" customWidth="1"/>
  </cols>
  <sheetData>
    <row r="1" ht="15" customHeight="1" spans="1:49" x14ac:dyDescent="0.25">
      <c r="A1" s="23" t="s">
        <v>137</v>
      </c>
      <c r="B1" s="23" t="s">
        <v>138</v>
      </c>
      <c r="C1" s="23" t="s">
        <v>139</v>
      </c>
      <c r="D1" s="23" t="s">
        <v>140</v>
      </c>
      <c r="E1" s="23" t="s">
        <v>141</v>
      </c>
      <c r="F1" s="23" t="s">
        <v>142</v>
      </c>
      <c r="G1" s="23" t="s">
        <v>143</v>
      </c>
      <c r="H1" s="23" t="s">
        <v>144</v>
      </c>
      <c r="I1" s="23" t="s">
        <v>145</v>
      </c>
      <c r="J1" s="23" t="s">
        <v>146</v>
      </c>
      <c r="K1" s="23" t="s">
        <v>147</v>
      </c>
      <c r="L1" s="23" t="s">
        <v>148</v>
      </c>
      <c r="M1" s="23" t="s">
        <v>149</v>
      </c>
      <c r="N1" s="23" t="s">
        <v>150</v>
      </c>
      <c r="O1" s="23" t="s">
        <v>151</v>
      </c>
      <c r="P1" s="23" t="s">
        <v>152</v>
      </c>
      <c r="Q1" s="23" t="s">
        <v>153</v>
      </c>
      <c r="R1" s="23" t="s">
        <v>154</v>
      </c>
      <c r="S1" s="23" t="s">
        <v>155</v>
      </c>
      <c r="T1" s="23" t="s">
        <v>156</v>
      </c>
      <c r="U1" s="23" t="s">
        <v>157</v>
      </c>
      <c r="V1" s="23" t="s">
        <v>158</v>
      </c>
      <c r="W1" s="23" t="s">
        <v>159</v>
      </c>
      <c r="X1" s="23" t="s">
        <v>160</v>
      </c>
      <c r="Y1" s="23" t="s">
        <v>161</v>
      </c>
      <c r="Z1" s="23" t="s">
        <v>162</v>
      </c>
      <c r="AA1" s="23" t="s">
        <v>163</v>
      </c>
      <c r="AB1" s="23" t="s">
        <v>164</v>
      </c>
      <c r="AC1" s="23" t="s">
        <v>165</v>
      </c>
      <c r="AD1" s="23" t="s">
        <v>166</v>
      </c>
      <c r="AE1" s="23" t="s">
        <v>167</v>
      </c>
      <c r="AF1" s="23" t="s">
        <v>168</v>
      </c>
      <c r="AG1" s="23" t="s">
        <v>28</v>
      </c>
      <c r="AH1" s="23" t="s">
        <v>169</v>
      </c>
      <c r="AI1" s="23" t="s">
        <v>170</v>
      </c>
      <c r="AJ1" s="23" t="s">
        <v>171</v>
      </c>
      <c r="AK1" s="23" t="s">
        <v>172</v>
      </c>
      <c r="AL1" s="23" t="s">
        <v>173</v>
      </c>
      <c r="AM1" s="23" t="s">
        <v>174</v>
      </c>
      <c r="AN1" s="23" t="s">
        <v>175</v>
      </c>
      <c r="AO1" s="23" t="s">
        <v>176</v>
      </c>
      <c r="AP1" s="23" t="s">
        <v>177</v>
      </c>
      <c r="AQ1" s="23" t="s">
        <v>178</v>
      </c>
      <c r="AR1" s="23" t="s">
        <v>179</v>
      </c>
      <c r="AS1" s="23" t="s">
        <v>180</v>
      </c>
      <c r="AT1" s="23" t="s">
        <v>181</v>
      </c>
      <c r="AU1" s="23" t="s">
        <v>182</v>
      </c>
      <c r="AV1" s="23" t="s">
        <v>183</v>
      </c>
      <c r="AW1" s="23" t="s">
        <v>184</v>
      </c>
    </row>
    <row r="2" ht="15" customHeight="1" spans="1:49" x14ac:dyDescent="0.25">
      <c r="A2" s="23">
        <v>1</v>
      </c>
      <c r="B2" s="23" t="s">
        <v>185</v>
      </c>
      <c r="C2" s="23">
        <v>56</v>
      </c>
      <c r="D2" s="23" t="s">
        <v>186</v>
      </c>
      <c r="E2" s="23" t="s">
        <v>187</v>
      </c>
      <c r="F2" s="23" t="s">
        <v>187</v>
      </c>
      <c r="G2" s="23" t="s">
        <v>188</v>
      </c>
      <c r="H2" s="23" t="s">
        <v>189</v>
      </c>
      <c r="I2" s="23" t="s">
        <v>189</v>
      </c>
      <c r="J2" s="23" t="s">
        <v>189</v>
      </c>
      <c r="K2" s="23" t="s">
        <v>189</v>
      </c>
      <c r="L2" s="23" t="s">
        <v>189</v>
      </c>
      <c r="M2" s="23" t="s">
        <v>189</v>
      </c>
      <c r="N2" s="23" t="s">
        <v>189</v>
      </c>
      <c r="O2" s="23" t="s">
        <v>190</v>
      </c>
      <c r="P2" s="23" t="s">
        <v>189</v>
      </c>
      <c r="Q2" s="23" t="s">
        <v>191</v>
      </c>
      <c r="R2" s="23" t="s">
        <v>191</v>
      </c>
      <c r="S2" s="23" t="s">
        <v>187</v>
      </c>
      <c r="T2" s="23" t="s">
        <v>187</v>
      </c>
      <c r="U2" s="23" t="s">
        <v>187</v>
      </c>
      <c r="V2" s="23" t="s">
        <v>187</v>
      </c>
      <c r="W2" s="23" t="s">
        <v>187</v>
      </c>
      <c r="X2" s="23" t="s">
        <v>192</v>
      </c>
      <c r="Y2" s="23" t="s">
        <v>192</v>
      </c>
      <c r="Z2" s="23" t="s">
        <v>192</v>
      </c>
      <c r="AA2" s="23" t="s">
        <v>192</v>
      </c>
      <c r="AB2" s="23" t="s">
        <v>192</v>
      </c>
      <c r="AC2" s="23" t="s">
        <v>192</v>
      </c>
      <c r="AD2" s="23" t="s">
        <v>192</v>
      </c>
      <c r="AE2" s="23" t="s">
        <v>192</v>
      </c>
      <c r="AF2" s="23" t="s">
        <v>192</v>
      </c>
      <c r="AG2" s="23" t="s">
        <v>187</v>
      </c>
      <c r="AH2" s="23" t="s">
        <v>193</v>
      </c>
      <c r="AI2" s="23" t="s">
        <v>193</v>
      </c>
      <c r="AJ2" s="23" t="s">
        <v>193</v>
      </c>
      <c r="AK2" s="23" t="s">
        <v>193</v>
      </c>
      <c r="AL2" s="23" t="s">
        <v>193</v>
      </c>
      <c r="AM2" s="23" t="s">
        <v>193</v>
      </c>
      <c r="AN2" s="23" t="s">
        <v>187</v>
      </c>
      <c r="AO2" s="23" t="s">
        <v>187</v>
      </c>
      <c r="AP2" s="23" t="s">
        <v>187</v>
      </c>
      <c r="AQ2" s="23" t="s">
        <v>187</v>
      </c>
      <c r="AR2" s="23" t="s">
        <v>187</v>
      </c>
      <c r="AS2" s="23" t="s">
        <v>187</v>
      </c>
      <c r="AT2" s="23" t="s">
        <v>187</v>
      </c>
      <c r="AU2" s="23" t="s">
        <v>193</v>
      </c>
      <c r="AV2" s="23" t="s">
        <v>194</v>
      </c>
      <c r="AW2" s="23" t="s">
        <v>51</v>
      </c>
    </row>
    <row r="3" ht="15" customHeight="1" spans="1:49" x14ac:dyDescent="0.25">
      <c r="A3" s="23">
        <v>2</v>
      </c>
      <c r="B3" s="23" t="s">
        <v>195</v>
      </c>
      <c r="C3" s="23">
        <v>55</v>
      </c>
      <c r="D3" s="23" t="s">
        <v>196</v>
      </c>
      <c r="E3" s="23" t="s">
        <v>187</v>
      </c>
      <c r="F3" s="23" t="s">
        <v>187</v>
      </c>
      <c r="G3" s="23" t="s">
        <v>188</v>
      </c>
      <c r="H3" s="23" t="s">
        <v>189</v>
      </c>
      <c r="I3" s="23" t="s">
        <v>189</v>
      </c>
      <c r="J3" s="23" t="s">
        <v>189</v>
      </c>
      <c r="K3" s="23" t="s">
        <v>189</v>
      </c>
      <c r="L3" s="23" t="s">
        <v>189</v>
      </c>
      <c r="M3" s="23" t="s">
        <v>188</v>
      </c>
      <c r="N3" s="23" t="s">
        <v>189</v>
      </c>
      <c r="O3" s="23" t="s">
        <v>190</v>
      </c>
      <c r="P3" s="23" t="s">
        <v>189</v>
      </c>
      <c r="Q3" s="23" t="s">
        <v>191</v>
      </c>
      <c r="R3" s="23" t="s">
        <v>191</v>
      </c>
      <c r="S3" s="23" t="s">
        <v>187</v>
      </c>
      <c r="T3" s="23" t="s">
        <v>187</v>
      </c>
      <c r="U3" s="23" t="s">
        <v>187</v>
      </c>
      <c r="V3" s="23" t="s">
        <v>187</v>
      </c>
      <c r="W3" s="23" t="s">
        <v>187</v>
      </c>
      <c r="X3" s="23" t="s">
        <v>192</v>
      </c>
      <c r="Y3" s="23" t="s">
        <v>192</v>
      </c>
      <c r="Z3" s="23" t="s">
        <v>192</v>
      </c>
      <c r="AA3" s="23" t="s">
        <v>192</v>
      </c>
      <c r="AB3" s="23" t="s">
        <v>192</v>
      </c>
      <c r="AC3" s="23" t="s">
        <v>192</v>
      </c>
      <c r="AD3" s="23" t="s">
        <v>192</v>
      </c>
      <c r="AE3" s="23" t="s">
        <v>192</v>
      </c>
      <c r="AF3" s="23" t="s">
        <v>192</v>
      </c>
      <c r="AG3" s="23" t="s">
        <v>193</v>
      </c>
      <c r="AH3" s="23" t="s">
        <v>193</v>
      </c>
      <c r="AI3" s="23" t="s">
        <v>193</v>
      </c>
      <c r="AJ3" s="23" t="s">
        <v>193</v>
      </c>
      <c r="AK3" s="23" t="s">
        <v>193</v>
      </c>
      <c r="AL3" s="23" t="s">
        <v>193</v>
      </c>
      <c r="AM3" s="23" t="s">
        <v>193</v>
      </c>
      <c r="AN3" s="23" t="s">
        <v>187</v>
      </c>
      <c r="AO3" s="23" t="s">
        <v>187</v>
      </c>
      <c r="AP3" s="23" t="s">
        <v>187</v>
      </c>
      <c r="AQ3" s="23" t="s">
        <v>187</v>
      </c>
      <c r="AR3" s="23" t="s">
        <v>187</v>
      </c>
      <c r="AS3" s="23" t="s">
        <v>187</v>
      </c>
      <c r="AT3" s="23" t="s">
        <v>187</v>
      </c>
      <c r="AU3" s="23" t="s">
        <v>193</v>
      </c>
      <c r="AV3" s="23" t="s">
        <v>194</v>
      </c>
      <c r="AW3" s="23" t="s">
        <v>54</v>
      </c>
    </row>
    <row r="4" ht="15" customHeight="1" spans="1:49" x14ac:dyDescent="0.25">
      <c r="A4" s="23">
        <v>3</v>
      </c>
      <c r="B4" s="23" t="s">
        <v>185</v>
      </c>
      <c r="C4" s="23">
        <v>45</v>
      </c>
      <c r="D4" s="23" t="s">
        <v>197</v>
      </c>
      <c r="E4" s="23" t="s">
        <v>187</v>
      </c>
      <c r="F4" s="23" t="s">
        <v>187</v>
      </c>
      <c r="G4" s="23" t="s">
        <v>188</v>
      </c>
      <c r="H4" s="23" t="s">
        <v>189</v>
      </c>
      <c r="I4" s="23" t="s">
        <v>189</v>
      </c>
      <c r="J4" s="23" t="s">
        <v>189</v>
      </c>
      <c r="K4" s="23" t="s">
        <v>188</v>
      </c>
      <c r="L4" s="23" t="s">
        <v>189</v>
      </c>
      <c r="M4" s="23" t="s">
        <v>190</v>
      </c>
      <c r="N4" s="23" t="s">
        <v>189</v>
      </c>
      <c r="O4" s="23" t="s">
        <v>188</v>
      </c>
      <c r="P4" s="23" t="s">
        <v>188</v>
      </c>
      <c r="Q4" s="23" t="s">
        <v>191</v>
      </c>
      <c r="R4" s="23" t="s">
        <v>191</v>
      </c>
      <c r="S4" s="23" t="s">
        <v>187</v>
      </c>
      <c r="T4" s="23" t="s">
        <v>187</v>
      </c>
      <c r="U4" s="23" t="s">
        <v>187</v>
      </c>
      <c r="V4" s="23" t="s">
        <v>187</v>
      </c>
      <c r="W4" s="23" t="s">
        <v>187</v>
      </c>
      <c r="X4" s="23" t="s">
        <v>192</v>
      </c>
      <c r="Y4" s="23" t="s">
        <v>192</v>
      </c>
      <c r="Z4" s="23" t="s">
        <v>192</v>
      </c>
      <c r="AA4" s="23" t="s">
        <v>192</v>
      </c>
      <c r="AB4" s="23" t="s">
        <v>192</v>
      </c>
      <c r="AC4" s="23" t="s">
        <v>192</v>
      </c>
      <c r="AD4" s="23" t="s">
        <v>192</v>
      </c>
      <c r="AE4" s="23" t="s">
        <v>192</v>
      </c>
      <c r="AF4" s="23" t="s">
        <v>192</v>
      </c>
      <c r="AG4" s="23" t="s">
        <v>193</v>
      </c>
      <c r="AH4" s="23" t="s">
        <v>193</v>
      </c>
      <c r="AI4" s="23" t="s">
        <v>193</v>
      </c>
      <c r="AJ4" s="23" t="s">
        <v>193</v>
      </c>
      <c r="AK4" s="23" t="s">
        <v>193</v>
      </c>
      <c r="AL4" s="23" t="s">
        <v>193</v>
      </c>
      <c r="AM4" s="23" t="s">
        <v>193</v>
      </c>
      <c r="AN4" s="23" t="s">
        <v>187</v>
      </c>
      <c r="AO4" s="23" t="s">
        <v>187</v>
      </c>
      <c r="AP4" s="23" t="s">
        <v>187</v>
      </c>
      <c r="AQ4" s="23" t="s">
        <v>187</v>
      </c>
      <c r="AR4" s="23" t="s">
        <v>187</v>
      </c>
      <c r="AS4" s="23" t="s">
        <v>187</v>
      </c>
      <c r="AT4" s="23" t="s">
        <v>187</v>
      </c>
      <c r="AU4" s="23" t="s">
        <v>193</v>
      </c>
      <c r="AV4" s="23" t="s">
        <v>194</v>
      </c>
      <c r="AW4" s="23" t="s">
        <v>56</v>
      </c>
    </row>
    <row r="5" ht="15" customHeight="1" spans="1:49" x14ac:dyDescent="0.25">
      <c r="A5" s="23">
        <v>4</v>
      </c>
      <c r="B5" s="23" t="s">
        <v>195</v>
      </c>
      <c r="C5" s="23">
        <v>56</v>
      </c>
      <c r="D5" s="23" t="s">
        <v>198</v>
      </c>
      <c r="E5" s="23" t="s">
        <v>187</v>
      </c>
      <c r="F5" s="23" t="s">
        <v>187</v>
      </c>
      <c r="G5" s="23" t="s">
        <v>188</v>
      </c>
      <c r="H5" s="23" t="s">
        <v>189</v>
      </c>
      <c r="I5" s="23" t="s">
        <v>189</v>
      </c>
      <c r="J5" s="23" t="s">
        <v>189</v>
      </c>
      <c r="K5" s="23" t="s">
        <v>189</v>
      </c>
      <c r="L5" s="23" t="s">
        <v>189</v>
      </c>
      <c r="M5" s="23" t="s">
        <v>190</v>
      </c>
      <c r="N5" s="23" t="s">
        <v>189</v>
      </c>
      <c r="O5" s="23" t="s">
        <v>190</v>
      </c>
      <c r="P5" s="23" t="s">
        <v>190</v>
      </c>
      <c r="Q5" s="23" t="s">
        <v>191</v>
      </c>
      <c r="R5" s="23" t="s">
        <v>191</v>
      </c>
      <c r="S5" s="23" t="s">
        <v>187</v>
      </c>
      <c r="T5" s="23" t="s">
        <v>187</v>
      </c>
      <c r="U5" s="23" t="s">
        <v>187</v>
      </c>
      <c r="V5" s="23" t="s">
        <v>187</v>
      </c>
      <c r="W5" s="23" t="s">
        <v>187</v>
      </c>
      <c r="X5" s="23" t="s">
        <v>192</v>
      </c>
      <c r="Y5" s="23" t="s">
        <v>192</v>
      </c>
      <c r="Z5" s="23" t="s">
        <v>192</v>
      </c>
      <c r="AA5" s="23" t="s">
        <v>192</v>
      </c>
      <c r="AB5" s="23" t="s">
        <v>192</v>
      </c>
      <c r="AC5" s="23" t="s">
        <v>192</v>
      </c>
      <c r="AD5" s="23" t="s">
        <v>192</v>
      </c>
      <c r="AE5" s="23" t="s">
        <v>192</v>
      </c>
      <c r="AF5" s="23" t="s">
        <v>192</v>
      </c>
      <c r="AG5" s="23" t="s">
        <v>193</v>
      </c>
      <c r="AH5" s="23" t="s">
        <v>193</v>
      </c>
      <c r="AI5" s="23" t="s">
        <v>193</v>
      </c>
      <c r="AJ5" s="23" t="s">
        <v>193</v>
      </c>
      <c r="AK5" s="23" t="s">
        <v>193</v>
      </c>
      <c r="AL5" s="23" t="s">
        <v>193</v>
      </c>
      <c r="AM5" s="23" t="s">
        <v>193</v>
      </c>
      <c r="AN5" s="23" t="s">
        <v>187</v>
      </c>
      <c r="AO5" s="23" t="s">
        <v>187</v>
      </c>
      <c r="AP5" s="23" t="s">
        <v>187</v>
      </c>
      <c r="AQ5" s="23" t="s">
        <v>187</v>
      </c>
      <c r="AR5" s="23" t="s">
        <v>187</v>
      </c>
      <c r="AS5" s="23" t="s">
        <v>187</v>
      </c>
      <c r="AT5" s="23" t="s">
        <v>187</v>
      </c>
      <c r="AU5" s="23" t="s">
        <v>193</v>
      </c>
      <c r="AV5" s="23" t="s">
        <v>194</v>
      </c>
      <c r="AW5" s="23" t="s">
        <v>57</v>
      </c>
    </row>
    <row r="6" ht="15" customHeight="1" spans="1:49" x14ac:dyDescent="0.25">
      <c r="A6" s="23">
        <v>5</v>
      </c>
      <c r="B6" s="23" t="s">
        <v>185</v>
      </c>
      <c r="C6" s="23">
        <v>70</v>
      </c>
      <c r="D6" s="23" t="s">
        <v>199</v>
      </c>
      <c r="E6" s="23" t="s">
        <v>187</v>
      </c>
      <c r="F6" s="23" t="s">
        <v>187</v>
      </c>
      <c r="G6" s="23" t="s">
        <v>188</v>
      </c>
      <c r="H6" s="23" t="s">
        <v>189</v>
      </c>
      <c r="I6" s="23" t="s">
        <v>189</v>
      </c>
      <c r="J6" s="23" t="s">
        <v>189</v>
      </c>
      <c r="K6" s="23" t="s">
        <v>189</v>
      </c>
      <c r="L6" s="23" t="s">
        <v>189</v>
      </c>
      <c r="M6" s="23" t="s">
        <v>190</v>
      </c>
      <c r="N6" s="23" t="s">
        <v>189</v>
      </c>
      <c r="O6" s="23" t="s">
        <v>190</v>
      </c>
      <c r="P6" s="23" t="s">
        <v>190</v>
      </c>
      <c r="Q6" s="23" t="s">
        <v>200</v>
      </c>
      <c r="R6" s="23" t="s">
        <v>200</v>
      </c>
      <c r="S6" s="23" t="s">
        <v>187</v>
      </c>
      <c r="T6" s="23" t="s">
        <v>187</v>
      </c>
      <c r="U6" s="23" t="s">
        <v>187</v>
      </c>
      <c r="V6" s="23" t="s">
        <v>187</v>
      </c>
      <c r="W6" s="23" t="s">
        <v>187</v>
      </c>
      <c r="X6" s="23" t="s">
        <v>201</v>
      </c>
      <c r="Y6" s="23" t="s">
        <v>202</v>
      </c>
      <c r="Z6" s="23" t="s">
        <v>203</v>
      </c>
      <c r="AA6" s="23" t="s">
        <v>192</v>
      </c>
      <c r="AB6" s="23">
        <v>16.9</v>
      </c>
      <c r="AC6" s="23" t="s">
        <v>204</v>
      </c>
      <c r="AD6" s="23" t="s">
        <v>205</v>
      </c>
      <c r="AE6" s="23" t="s">
        <v>58</v>
      </c>
      <c r="AF6" s="23" t="s">
        <v>206</v>
      </c>
      <c r="AG6" s="23" t="s">
        <v>193</v>
      </c>
      <c r="AH6" s="23" t="s">
        <v>193</v>
      </c>
      <c r="AI6" s="23" t="s">
        <v>193</v>
      </c>
      <c r="AJ6" s="23" t="s">
        <v>193</v>
      </c>
      <c r="AK6" s="23" t="s">
        <v>193</v>
      </c>
      <c r="AL6" s="23" t="s">
        <v>193</v>
      </c>
      <c r="AM6" s="23" t="s">
        <v>193</v>
      </c>
      <c r="AN6" s="23" t="s">
        <v>187</v>
      </c>
      <c r="AO6" s="23" t="s">
        <v>187</v>
      </c>
      <c r="AP6" s="23" t="s">
        <v>187</v>
      </c>
      <c r="AQ6" s="23" t="s">
        <v>187</v>
      </c>
      <c r="AR6" s="23" t="s">
        <v>187</v>
      </c>
      <c r="AS6" s="23" t="s">
        <v>187</v>
      </c>
      <c r="AT6" s="23" t="s">
        <v>187</v>
      </c>
      <c r="AU6" s="23" t="s">
        <v>193</v>
      </c>
      <c r="AV6" s="23" t="s">
        <v>194</v>
      </c>
      <c r="AW6" s="23" t="s">
        <v>62</v>
      </c>
    </row>
    <row r="7" ht="15" customHeight="1" spans="1:49" x14ac:dyDescent="0.25">
      <c r="A7" s="23">
        <v>6</v>
      </c>
      <c r="B7" s="23" t="s">
        <v>185</v>
      </c>
      <c r="C7" s="23">
        <v>66</v>
      </c>
      <c r="D7" s="23" t="s">
        <v>207</v>
      </c>
      <c r="E7" s="23" t="s">
        <v>187</v>
      </c>
      <c r="F7" s="23" t="s">
        <v>187</v>
      </c>
      <c r="G7" s="23" t="s">
        <v>188</v>
      </c>
      <c r="H7" s="23" t="s">
        <v>189</v>
      </c>
      <c r="I7" s="23" t="s">
        <v>189</v>
      </c>
      <c r="J7" s="23" t="s">
        <v>189</v>
      </c>
      <c r="K7" s="23" t="s">
        <v>189</v>
      </c>
      <c r="L7" s="23" t="s">
        <v>189</v>
      </c>
      <c r="M7" s="23" t="s">
        <v>190</v>
      </c>
      <c r="N7" s="23" t="s">
        <v>189</v>
      </c>
      <c r="O7" s="23" t="s">
        <v>190</v>
      </c>
      <c r="P7" s="23" t="s">
        <v>190</v>
      </c>
      <c r="Q7" s="23" t="s">
        <v>200</v>
      </c>
      <c r="R7" s="23" t="s">
        <v>191</v>
      </c>
      <c r="S7" s="23" t="s">
        <v>200</v>
      </c>
      <c r="T7" s="23" t="s">
        <v>187</v>
      </c>
      <c r="U7" s="23" t="s">
        <v>200</v>
      </c>
      <c r="V7" s="23" t="s">
        <v>187</v>
      </c>
      <c r="W7" s="23" t="s">
        <v>200</v>
      </c>
      <c r="X7" s="23" t="s">
        <v>208</v>
      </c>
      <c r="Y7" s="23" t="s">
        <v>209</v>
      </c>
      <c r="Z7" s="23" t="s">
        <v>210</v>
      </c>
      <c r="AA7" s="23" t="s">
        <v>192</v>
      </c>
      <c r="AB7" s="23" t="s">
        <v>211</v>
      </c>
      <c r="AC7" s="23" t="s">
        <v>212</v>
      </c>
      <c r="AD7" s="23" t="s">
        <v>192</v>
      </c>
      <c r="AE7" s="23">
        <v>36.9</v>
      </c>
      <c r="AF7" s="23" t="s">
        <v>213</v>
      </c>
      <c r="AG7" s="23" t="s">
        <v>214</v>
      </c>
      <c r="AH7" s="23">
        <v>284</v>
      </c>
      <c r="AI7" s="23" t="s">
        <v>215</v>
      </c>
      <c r="AJ7" s="23" t="s">
        <v>193</v>
      </c>
      <c r="AK7" s="23" t="s">
        <v>193</v>
      </c>
      <c r="AL7" s="23" t="s">
        <v>193</v>
      </c>
      <c r="AM7" s="23" t="s">
        <v>193</v>
      </c>
      <c r="AN7" s="23" t="s">
        <v>187</v>
      </c>
      <c r="AO7" s="23" t="s">
        <v>187</v>
      </c>
      <c r="AP7" s="23" t="s">
        <v>187</v>
      </c>
      <c r="AQ7" s="23" t="s">
        <v>187</v>
      </c>
      <c r="AR7" s="23" t="s">
        <v>187</v>
      </c>
      <c r="AS7" s="23" t="s">
        <v>187</v>
      </c>
      <c r="AT7" s="23" t="s">
        <v>187</v>
      </c>
      <c r="AU7" s="23" t="s">
        <v>216</v>
      </c>
      <c r="AV7" s="23" t="s">
        <v>194</v>
      </c>
      <c r="AW7" s="23" t="s">
        <v>56</v>
      </c>
    </row>
    <row r="8" ht="15" customHeight="1" spans="1:49" x14ac:dyDescent="0.25">
      <c r="A8" s="23">
        <v>7</v>
      </c>
      <c r="B8" s="23" t="s">
        <v>195</v>
      </c>
      <c r="C8" s="23" t="s">
        <v>217</v>
      </c>
      <c r="D8" s="23" t="s">
        <v>218</v>
      </c>
      <c r="E8" s="23" t="s">
        <v>187</v>
      </c>
      <c r="F8" s="23" t="s">
        <v>187</v>
      </c>
      <c r="G8" s="23" t="s">
        <v>188</v>
      </c>
      <c r="H8" s="23" t="s">
        <v>189</v>
      </c>
      <c r="I8" s="23" t="s">
        <v>189</v>
      </c>
      <c r="J8" s="23" t="s">
        <v>189</v>
      </c>
      <c r="K8" s="23" t="s">
        <v>189</v>
      </c>
      <c r="L8" s="23" t="s">
        <v>189</v>
      </c>
      <c r="M8" s="23" t="s">
        <v>189</v>
      </c>
      <c r="N8" s="23" t="s">
        <v>189</v>
      </c>
      <c r="O8" s="23" t="s">
        <v>189</v>
      </c>
      <c r="P8" s="23" t="s">
        <v>189</v>
      </c>
      <c r="Q8" s="23" t="s">
        <v>187</v>
      </c>
      <c r="R8" s="23" t="s">
        <v>187</v>
      </c>
      <c r="S8" s="23" t="s">
        <v>187</v>
      </c>
      <c r="T8" s="23" t="s">
        <v>187</v>
      </c>
      <c r="U8" s="23" t="s">
        <v>191</v>
      </c>
      <c r="V8" s="23" t="s">
        <v>187</v>
      </c>
      <c r="W8" s="23" t="s">
        <v>200</v>
      </c>
      <c r="X8" s="23" t="s">
        <v>219</v>
      </c>
      <c r="Y8" s="23" t="s">
        <v>220</v>
      </c>
      <c r="Z8" s="23" t="s">
        <v>221</v>
      </c>
      <c r="AA8" s="23" t="s">
        <v>192</v>
      </c>
      <c r="AB8" s="23">
        <v>6.56</v>
      </c>
      <c r="AC8" s="23" t="s">
        <v>193</v>
      </c>
      <c r="AD8" s="23" t="s">
        <v>193</v>
      </c>
      <c r="AE8" s="23" t="s">
        <v>222</v>
      </c>
      <c r="AF8" s="23" t="s">
        <v>193</v>
      </c>
      <c r="AG8" s="23" t="s">
        <v>193</v>
      </c>
      <c r="AH8" s="23" t="s">
        <v>193</v>
      </c>
      <c r="AI8" s="23" t="s">
        <v>193</v>
      </c>
      <c r="AJ8" s="23">
        <v>15000</v>
      </c>
      <c r="AK8" s="23" t="s">
        <v>214</v>
      </c>
      <c r="AL8" s="23" t="s">
        <v>223</v>
      </c>
      <c r="AM8" s="23" t="s">
        <v>200</v>
      </c>
      <c r="AN8" s="23" t="s">
        <v>187</v>
      </c>
      <c r="AO8" s="23" t="s">
        <v>187</v>
      </c>
      <c r="AP8" s="23" t="s">
        <v>187</v>
      </c>
      <c r="AQ8" s="23" t="s">
        <v>187</v>
      </c>
      <c r="AR8" s="23" t="s">
        <v>187</v>
      </c>
      <c r="AS8" s="23" t="s">
        <v>187</v>
      </c>
      <c r="AT8" s="23" t="s">
        <v>187</v>
      </c>
      <c r="AU8" s="23" t="s">
        <v>193</v>
      </c>
      <c r="AV8" s="23" t="s">
        <v>224</v>
      </c>
      <c r="AW8" s="23" t="s">
        <v>69</v>
      </c>
    </row>
    <row r="9" ht="15" customHeight="1" spans="1:49" x14ac:dyDescent="0.25">
      <c r="A9" s="23">
        <v>8</v>
      </c>
      <c r="B9" s="23" t="s">
        <v>195</v>
      </c>
      <c r="C9" s="23">
        <v>45</v>
      </c>
      <c r="D9" s="23" t="s">
        <v>225</v>
      </c>
      <c r="E9" s="23" t="s">
        <v>187</v>
      </c>
      <c r="F9" s="23" t="s">
        <v>187</v>
      </c>
      <c r="G9" s="23" t="s">
        <v>188</v>
      </c>
      <c r="H9" s="23" t="s">
        <v>188</v>
      </c>
      <c r="I9" s="23" t="s">
        <v>188</v>
      </c>
      <c r="J9" s="23" t="s">
        <v>189</v>
      </c>
      <c r="K9" s="23" t="s">
        <v>188</v>
      </c>
      <c r="L9" s="23" t="s">
        <v>189</v>
      </c>
      <c r="M9" s="23" t="s">
        <v>189</v>
      </c>
      <c r="N9" s="23" t="s">
        <v>189</v>
      </c>
      <c r="O9" s="23" t="s">
        <v>189</v>
      </c>
      <c r="P9" s="23" t="s">
        <v>189</v>
      </c>
      <c r="Q9" s="23" t="s">
        <v>187</v>
      </c>
      <c r="R9" s="23" t="s">
        <v>187</v>
      </c>
      <c r="S9" s="23" t="s">
        <v>187</v>
      </c>
      <c r="T9" s="23" t="s">
        <v>187</v>
      </c>
      <c r="U9" s="23" t="s">
        <v>187</v>
      </c>
      <c r="V9" s="23" t="s">
        <v>187</v>
      </c>
      <c r="W9" s="23" t="s">
        <v>187</v>
      </c>
      <c r="X9" s="23" t="s">
        <v>226</v>
      </c>
      <c r="Y9" s="23" t="s">
        <v>227</v>
      </c>
      <c r="Z9" s="23" t="s">
        <v>228</v>
      </c>
      <c r="AA9" s="23" t="s">
        <v>229</v>
      </c>
      <c r="AB9" s="23" t="s">
        <v>187</v>
      </c>
      <c r="AC9" s="23" t="s">
        <v>187</v>
      </c>
      <c r="AD9" s="23" t="s">
        <v>187</v>
      </c>
      <c r="AE9" s="23" t="s">
        <v>192</v>
      </c>
      <c r="AF9" s="23" t="s">
        <v>192</v>
      </c>
      <c r="AG9" s="23" t="s">
        <v>187</v>
      </c>
      <c r="AH9" s="23" t="s">
        <v>230</v>
      </c>
      <c r="AI9" s="23" t="s">
        <v>187</v>
      </c>
      <c r="AJ9" s="23" t="s">
        <v>193</v>
      </c>
      <c r="AK9" s="23" t="s">
        <v>193</v>
      </c>
      <c r="AL9" s="23" t="s">
        <v>193</v>
      </c>
      <c r="AM9" s="23" t="s">
        <v>193</v>
      </c>
      <c r="AN9" s="23" t="s">
        <v>187</v>
      </c>
      <c r="AO9" s="23" t="s">
        <v>187</v>
      </c>
      <c r="AP9" s="23" t="s">
        <v>187</v>
      </c>
      <c r="AQ9" s="23" t="s">
        <v>187</v>
      </c>
      <c r="AR9" s="23" t="s">
        <v>187</v>
      </c>
      <c r="AS9" s="23" t="s">
        <v>187</v>
      </c>
      <c r="AT9" s="23" t="s">
        <v>187</v>
      </c>
      <c r="AU9" s="23" t="s">
        <v>193</v>
      </c>
      <c r="AV9" s="23" t="s">
        <v>194</v>
      </c>
      <c r="AW9" s="23" t="s">
        <v>72</v>
      </c>
    </row>
    <row r="10" ht="15" customHeight="1" spans="1:49" x14ac:dyDescent="0.25">
      <c r="A10" s="23">
        <v>9</v>
      </c>
      <c r="B10" s="23" t="s">
        <v>185</v>
      </c>
      <c r="C10" s="23">
        <v>58</v>
      </c>
      <c r="D10" s="23" t="s">
        <v>231</v>
      </c>
      <c r="E10" s="23" t="s">
        <v>187</v>
      </c>
      <c r="F10" s="23" t="s">
        <v>187</v>
      </c>
      <c r="G10" s="23" t="s">
        <v>190</v>
      </c>
      <c r="H10" s="23" t="s">
        <v>190</v>
      </c>
      <c r="I10" s="23" t="s">
        <v>190</v>
      </c>
      <c r="J10" s="23" t="s">
        <v>189</v>
      </c>
      <c r="K10" s="23" t="s">
        <v>190</v>
      </c>
      <c r="L10" s="23" t="s">
        <v>189</v>
      </c>
      <c r="M10" s="23" t="s">
        <v>190</v>
      </c>
      <c r="N10" s="23" t="s">
        <v>189</v>
      </c>
      <c r="O10" s="23" t="s">
        <v>190</v>
      </c>
      <c r="P10" s="23" t="s">
        <v>190</v>
      </c>
      <c r="Q10" s="23" t="s">
        <v>191</v>
      </c>
      <c r="R10" s="23" t="s">
        <v>191</v>
      </c>
      <c r="S10" s="23" t="s">
        <v>191</v>
      </c>
      <c r="T10" s="23" t="s">
        <v>200</v>
      </c>
      <c r="U10" s="23" t="s">
        <v>191</v>
      </c>
      <c r="V10" s="23" t="s">
        <v>187</v>
      </c>
      <c r="W10" s="23" t="s">
        <v>191</v>
      </c>
      <c r="X10" s="23" t="s">
        <v>187</v>
      </c>
      <c r="Y10" s="23" t="s">
        <v>232</v>
      </c>
      <c r="Z10" s="23" t="s">
        <v>187</v>
      </c>
      <c r="AA10" s="23" t="s">
        <v>233</v>
      </c>
      <c r="AB10" s="23" t="s">
        <v>187</v>
      </c>
      <c r="AC10" s="23" t="s">
        <v>187</v>
      </c>
      <c r="AD10" s="23" t="s">
        <v>187</v>
      </c>
      <c r="AE10" s="23" t="s">
        <v>187</v>
      </c>
      <c r="AF10" s="23" t="s">
        <v>187</v>
      </c>
      <c r="AG10" s="23" t="s">
        <v>234</v>
      </c>
      <c r="AH10" s="23" t="s">
        <v>187</v>
      </c>
      <c r="AI10" s="23" t="s">
        <v>187</v>
      </c>
      <c r="AJ10" s="23" t="s">
        <v>187</v>
      </c>
      <c r="AK10" s="23" t="s">
        <v>187</v>
      </c>
      <c r="AL10" s="23" t="s">
        <v>187</v>
      </c>
      <c r="AM10" s="23" t="s">
        <v>187</v>
      </c>
      <c r="AN10" s="23" t="s">
        <v>235</v>
      </c>
      <c r="AO10" s="23" t="s">
        <v>187</v>
      </c>
      <c r="AP10" s="23" t="s">
        <v>236</v>
      </c>
      <c r="AQ10" s="23" t="s">
        <v>187</v>
      </c>
      <c r="AR10" s="23" t="s">
        <v>187</v>
      </c>
      <c r="AS10" s="23" t="s">
        <v>237</v>
      </c>
      <c r="AT10" s="23" t="s">
        <v>187</v>
      </c>
      <c r="AU10" s="23" t="s">
        <v>187</v>
      </c>
      <c r="AV10" s="23" t="s">
        <v>194</v>
      </c>
      <c r="AW10" s="23" t="s">
        <v>238</v>
      </c>
    </row>
    <row r="11" ht="15" customHeight="1" spans="1:49" x14ac:dyDescent="0.25">
      <c r="A11" s="23">
        <v>10</v>
      </c>
      <c r="B11" s="23" t="s">
        <v>185</v>
      </c>
      <c r="C11" s="23">
        <v>50</v>
      </c>
      <c r="D11" s="23" t="s">
        <v>239</v>
      </c>
      <c r="E11" s="23" t="s">
        <v>187</v>
      </c>
      <c r="F11" s="23" t="s">
        <v>187</v>
      </c>
      <c r="G11" s="23" t="s">
        <v>190</v>
      </c>
      <c r="H11" s="23" t="s">
        <v>190</v>
      </c>
      <c r="I11" s="23" t="s">
        <v>190</v>
      </c>
      <c r="J11" s="23" t="s">
        <v>189</v>
      </c>
      <c r="K11" s="23" t="s">
        <v>190</v>
      </c>
      <c r="L11" s="23" t="s">
        <v>189</v>
      </c>
      <c r="M11" s="23" t="s">
        <v>190</v>
      </c>
      <c r="N11" s="23" t="s">
        <v>189</v>
      </c>
      <c r="O11" s="23" t="s">
        <v>190</v>
      </c>
      <c r="P11" s="23" t="s">
        <v>190</v>
      </c>
      <c r="Q11" s="23" t="s">
        <v>191</v>
      </c>
      <c r="R11" s="23" t="s">
        <v>191</v>
      </c>
      <c r="S11" s="23" t="s">
        <v>191</v>
      </c>
      <c r="T11" s="23" t="s">
        <v>200</v>
      </c>
      <c r="U11" s="23" t="s">
        <v>191</v>
      </c>
      <c r="V11" s="23" t="s">
        <v>200</v>
      </c>
      <c r="W11" s="23" t="s">
        <v>191</v>
      </c>
      <c r="X11" s="23" t="s">
        <v>192</v>
      </c>
      <c r="Y11" s="23" t="s">
        <v>192</v>
      </c>
      <c r="Z11" s="23" t="s">
        <v>192</v>
      </c>
      <c r="AA11" s="23" t="s">
        <v>240</v>
      </c>
      <c r="AB11" s="23" t="s">
        <v>187</v>
      </c>
      <c r="AC11" s="23" t="s">
        <v>187</v>
      </c>
      <c r="AD11" s="23" t="s">
        <v>187</v>
      </c>
      <c r="AE11" s="23" t="s">
        <v>187</v>
      </c>
      <c r="AF11" s="23" t="s">
        <v>187</v>
      </c>
      <c r="AG11" s="23" t="s">
        <v>241</v>
      </c>
      <c r="AH11" s="23" t="s">
        <v>187</v>
      </c>
      <c r="AI11" s="23" t="s">
        <v>187</v>
      </c>
      <c r="AJ11" s="23" t="s">
        <v>187</v>
      </c>
      <c r="AK11" s="23" t="s">
        <v>187</v>
      </c>
      <c r="AL11" s="23" t="s">
        <v>187</v>
      </c>
      <c r="AM11" s="23" t="s">
        <v>187</v>
      </c>
      <c r="AN11" s="23" t="s">
        <v>187</v>
      </c>
      <c r="AO11" s="23" t="s">
        <v>187</v>
      </c>
      <c r="AP11" s="23" t="s">
        <v>187</v>
      </c>
      <c r="AQ11" s="23" t="s">
        <v>187</v>
      </c>
      <c r="AR11" s="23" t="s">
        <v>242</v>
      </c>
      <c r="AS11" s="23" t="s">
        <v>243</v>
      </c>
      <c r="AT11" s="23" t="s">
        <v>187</v>
      </c>
      <c r="AU11" s="23" t="s">
        <v>187</v>
      </c>
      <c r="AV11" s="23" t="s">
        <v>194</v>
      </c>
      <c r="AW11" s="23" t="s">
        <v>244</v>
      </c>
    </row>
    <row r="12" ht="15" customHeight="1" spans="1:49" x14ac:dyDescent="0.25">
      <c r="A12" s="23">
        <v>11</v>
      </c>
      <c r="B12" s="23" t="s">
        <v>195</v>
      </c>
      <c r="C12" s="23">
        <v>42</v>
      </c>
      <c r="D12" s="23" t="s">
        <v>245</v>
      </c>
      <c r="E12" s="23" t="s">
        <v>200</v>
      </c>
      <c r="F12" s="23" t="s">
        <v>200</v>
      </c>
      <c r="G12" s="23" t="s">
        <v>188</v>
      </c>
      <c r="H12" s="23" t="s">
        <v>190</v>
      </c>
      <c r="I12" s="23" t="s">
        <v>190</v>
      </c>
      <c r="J12" s="23" t="s">
        <v>189</v>
      </c>
      <c r="K12" s="23" t="s">
        <v>190</v>
      </c>
      <c r="L12" s="23" t="s">
        <v>189</v>
      </c>
      <c r="M12" s="23" t="s">
        <v>190</v>
      </c>
      <c r="N12" s="23" t="s">
        <v>189</v>
      </c>
      <c r="O12" s="23" t="s">
        <v>190</v>
      </c>
      <c r="P12" s="23" t="s">
        <v>190</v>
      </c>
      <c r="Q12" s="23" t="s">
        <v>191</v>
      </c>
      <c r="R12" s="23" t="s">
        <v>191</v>
      </c>
      <c r="S12" s="23" t="s">
        <v>191</v>
      </c>
      <c r="T12" s="23" t="s">
        <v>191</v>
      </c>
      <c r="U12" s="23" t="s">
        <v>191</v>
      </c>
      <c r="V12" s="23" t="s">
        <v>191</v>
      </c>
      <c r="W12" s="23" t="s">
        <v>191</v>
      </c>
      <c r="X12" s="23" t="s">
        <v>187</v>
      </c>
      <c r="Y12" s="23" t="s">
        <v>246</v>
      </c>
      <c r="Z12" s="23" t="s">
        <v>187</v>
      </c>
      <c r="AA12" s="23" t="s">
        <v>247</v>
      </c>
      <c r="AB12" s="23" t="s">
        <v>187</v>
      </c>
      <c r="AC12" s="23" t="s">
        <v>187</v>
      </c>
      <c r="AD12" s="23" t="s">
        <v>187</v>
      </c>
      <c r="AE12" s="23">
        <v>70</v>
      </c>
      <c r="AF12" s="23" t="s">
        <v>187</v>
      </c>
      <c r="AG12" s="23" t="s">
        <v>187</v>
      </c>
      <c r="AH12" s="23" t="s">
        <v>187</v>
      </c>
      <c r="AI12" s="23" t="s">
        <v>187</v>
      </c>
      <c r="AJ12" s="23" t="s">
        <v>187</v>
      </c>
      <c r="AK12" s="23" t="s">
        <v>187</v>
      </c>
      <c r="AL12" s="23" t="s">
        <v>187</v>
      </c>
      <c r="AM12" s="23" t="s">
        <v>187</v>
      </c>
      <c r="AN12" s="23" t="s">
        <v>187</v>
      </c>
      <c r="AO12" s="23" t="s">
        <v>187</v>
      </c>
      <c r="AP12" s="23" t="s">
        <v>187</v>
      </c>
      <c r="AQ12" s="23" t="s">
        <v>187</v>
      </c>
      <c r="AR12" s="23" t="s">
        <v>187</v>
      </c>
      <c r="AS12" s="23" t="s">
        <v>187</v>
      </c>
      <c r="AT12" s="23" t="s">
        <v>187</v>
      </c>
      <c r="AU12" s="23" t="s">
        <v>193</v>
      </c>
      <c r="AV12" s="23" t="s">
        <v>224</v>
      </c>
      <c r="AW12" s="23" t="s">
        <v>248</v>
      </c>
    </row>
    <row r="13" ht="15" customHeight="1" spans="1:49" x14ac:dyDescent="0.25">
      <c r="A13" s="23">
        <v>12</v>
      </c>
      <c r="B13" s="23" t="s">
        <v>195</v>
      </c>
      <c r="C13" s="23">
        <v>44</v>
      </c>
      <c r="D13" s="23" t="s">
        <v>249</v>
      </c>
      <c r="E13" s="23" t="s">
        <v>200</v>
      </c>
      <c r="F13" s="23" t="s">
        <v>191</v>
      </c>
      <c r="G13" s="23" t="s">
        <v>190</v>
      </c>
      <c r="H13" s="23" t="s">
        <v>190</v>
      </c>
      <c r="I13" s="23" t="s">
        <v>190</v>
      </c>
      <c r="J13" s="23" t="s">
        <v>189</v>
      </c>
      <c r="K13" s="23" t="s">
        <v>190</v>
      </c>
      <c r="L13" s="23" t="s">
        <v>189</v>
      </c>
      <c r="M13" s="23" t="s">
        <v>190</v>
      </c>
      <c r="N13" s="23" t="s">
        <v>189</v>
      </c>
      <c r="O13" s="23" t="s">
        <v>190</v>
      </c>
      <c r="P13" s="23" t="s">
        <v>190</v>
      </c>
      <c r="Q13" s="23" t="s">
        <v>191</v>
      </c>
      <c r="R13" s="23" t="s">
        <v>191</v>
      </c>
      <c r="S13" s="23" t="s">
        <v>191</v>
      </c>
      <c r="T13" s="23" t="s">
        <v>191</v>
      </c>
      <c r="U13" s="23" t="s">
        <v>191</v>
      </c>
      <c r="V13" s="23" t="s">
        <v>191</v>
      </c>
      <c r="W13" s="23" t="s">
        <v>191</v>
      </c>
      <c r="X13" s="23" t="s">
        <v>187</v>
      </c>
      <c r="Y13" s="23" t="s">
        <v>250</v>
      </c>
      <c r="Z13" s="23" t="s">
        <v>251</v>
      </c>
      <c r="AA13" s="23" t="s">
        <v>187</v>
      </c>
      <c r="AB13" s="23" t="s">
        <v>187</v>
      </c>
      <c r="AC13" s="23" t="s">
        <v>187</v>
      </c>
      <c r="AD13" s="23" t="s">
        <v>187</v>
      </c>
      <c r="AE13" s="23" t="s">
        <v>187</v>
      </c>
      <c r="AF13" s="23" t="s">
        <v>187</v>
      </c>
      <c r="AG13" s="23" t="s">
        <v>187</v>
      </c>
      <c r="AH13" s="23" t="s">
        <v>187</v>
      </c>
      <c r="AI13" s="23" t="s">
        <v>187</v>
      </c>
      <c r="AJ13" s="23" t="s">
        <v>187</v>
      </c>
      <c r="AK13" s="23" t="s">
        <v>187</v>
      </c>
      <c r="AL13" s="23" t="s">
        <v>187</v>
      </c>
      <c r="AM13" s="23" t="s">
        <v>187</v>
      </c>
      <c r="AN13" s="23" t="s">
        <v>187</v>
      </c>
      <c r="AO13" s="23" t="s">
        <v>187</v>
      </c>
      <c r="AP13" s="23" t="s">
        <v>187</v>
      </c>
      <c r="AQ13" s="23" t="s">
        <v>187</v>
      </c>
      <c r="AR13" s="23" t="s">
        <v>187</v>
      </c>
      <c r="AS13" s="23" t="s">
        <v>187</v>
      </c>
      <c r="AT13" s="23" t="s">
        <v>187</v>
      </c>
      <c r="AU13" s="23" t="s">
        <v>193</v>
      </c>
      <c r="AV13" s="23" t="s">
        <v>224</v>
      </c>
      <c r="AW13" s="23" t="s">
        <v>252</v>
      </c>
    </row>
    <row r="14" ht="15" customHeight="1" spans="1:49" x14ac:dyDescent="0.25">
      <c r="A14" s="23">
        <v>13</v>
      </c>
      <c r="B14" s="23" t="s">
        <v>195</v>
      </c>
      <c r="C14" s="23">
        <v>71</v>
      </c>
      <c r="D14" s="23" t="s">
        <v>253</v>
      </c>
      <c r="E14" s="23" t="s">
        <v>187</v>
      </c>
      <c r="F14" s="23" t="s">
        <v>187</v>
      </c>
      <c r="G14" s="23" t="s">
        <v>189</v>
      </c>
      <c r="H14" s="23" t="s">
        <v>189</v>
      </c>
      <c r="I14" s="23" t="s">
        <v>189</v>
      </c>
      <c r="J14" s="23" t="s">
        <v>189</v>
      </c>
      <c r="K14" s="23" t="s">
        <v>189</v>
      </c>
      <c r="L14" s="23" t="s">
        <v>189</v>
      </c>
      <c r="M14" s="23" t="s">
        <v>189</v>
      </c>
      <c r="N14" s="23" t="s">
        <v>189</v>
      </c>
      <c r="O14" s="23" t="s">
        <v>189</v>
      </c>
      <c r="P14" s="23" t="s">
        <v>189</v>
      </c>
      <c r="Q14" s="23" t="s">
        <v>187</v>
      </c>
      <c r="R14" s="23" t="s">
        <v>187</v>
      </c>
      <c r="S14" s="23" t="s">
        <v>187</v>
      </c>
      <c r="T14" s="23" t="s">
        <v>187</v>
      </c>
      <c r="U14" s="23" t="s">
        <v>187</v>
      </c>
      <c r="V14" s="23" t="s">
        <v>200</v>
      </c>
      <c r="W14" s="23" t="s">
        <v>187</v>
      </c>
      <c r="X14" s="23" t="s">
        <v>187</v>
      </c>
      <c r="Y14" s="23" t="s">
        <v>254</v>
      </c>
      <c r="Z14" s="23" t="s">
        <v>255</v>
      </c>
      <c r="AA14" s="23" t="s">
        <v>187</v>
      </c>
      <c r="AB14" s="23" t="s">
        <v>187</v>
      </c>
      <c r="AC14" s="23" t="s">
        <v>187</v>
      </c>
      <c r="AD14" s="23" t="s">
        <v>187</v>
      </c>
      <c r="AE14" s="23" t="s">
        <v>58</v>
      </c>
      <c r="AF14" s="23" t="s">
        <v>187</v>
      </c>
      <c r="AG14" s="23" t="s">
        <v>187</v>
      </c>
      <c r="AH14" s="23" t="s">
        <v>187</v>
      </c>
      <c r="AI14" s="23" t="s">
        <v>187</v>
      </c>
      <c r="AJ14" s="23" t="s">
        <v>187</v>
      </c>
      <c r="AK14" s="23" t="s">
        <v>187</v>
      </c>
      <c r="AL14" s="23" t="s">
        <v>187</v>
      </c>
      <c r="AM14" s="23" t="s">
        <v>187</v>
      </c>
      <c r="AN14" s="23" t="s">
        <v>256</v>
      </c>
      <c r="AO14" s="23" t="s">
        <v>187</v>
      </c>
      <c r="AP14" s="23" t="s">
        <v>187</v>
      </c>
      <c r="AQ14" s="23" t="s">
        <v>257</v>
      </c>
      <c r="AR14" s="23" t="s">
        <v>187</v>
      </c>
      <c r="AS14" s="23" t="s">
        <v>187</v>
      </c>
      <c r="AT14" s="23" t="s">
        <v>187</v>
      </c>
      <c r="AU14" s="23" t="s">
        <v>187</v>
      </c>
      <c r="AV14" s="23" t="s">
        <v>224</v>
      </c>
      <c r="AW14" s="23" t="s">
        <v>258</v>
      </c>
    </row>
    <row r="15" ht="15" customHeight="1" spans="1:49" x14ac:dyDescent="0.25">
      <c r="A15" s="23">
        <v>14</v>
      </c>
      <c r="B15" s="23" t="s">
        <v>195</v>
      </c>
      <c r="C15" s="23">
        <v>70</v>
      </c>
      <c r="D15" s="23" t="s">
        <v>259</v>
      </c>
      <c r="E15" s="23" t="s">
        <v>191</v>
      </c>
      <c r="F15" s="23" t="s">
        <v>191</v>
      </c>
      <c r="G15" s="23" t="s">
        <v>188</v>
      </c>
      <c r="H15" s="23" t="s">
        <v>190</v>
      </c>
      <c r="I15" s="23" t="s">
        <v>190</v>
      </c>
      <c r="J15" s="23" t="s">
        <v>189</v>
      </c>
      <c r="K15" s="23" t="s">
        <v>189</v>
      </c>
      <c r="L15" s="23" t="s">
        <v>189</v>
      </c>
      <c r="M15" s="23" t="s">
        <v>189</v>
      </c>
      <c r="N15" s="23" t="s">
        <v>189</v>
      </c>
      <c r="O15" s="23" t="s">
        <v>189</v>
      </c>
      <c r="P15" s="23" t="s">
        <v>189</v>
      </c>
      <c r="Q15" s="23" t="s">
        <v>187</v>
      </c>
      <c r="R15" s="23" t="s">
        <v>187</v>
      </c>
      <c r="S15" s="23" t="s">
        <v>187</v>
      </c>
      <c r="T15" s="23" t="s">
        <v>200</v>
      </c>
      <c r="U15" s="23" t="s">
        <v>187</v>
      </c>
      <c r="V15" s="23" t="s">
        <v>200</v>
      </c>
      <c r="W15" s="23" t="s">
        <v>187</v>
      </c>
      <c r="X15" s="23" t="s">
        <v>187</v>
      </c>
      <c r="Y15" s="23" t="s">
        <v>260</v>
      </c>
      <c r="Z15" s="23" t="s">
        <v>187</v>
      </c>
      <c r="AA15" s="23" t="s">
        <v>261</v>
      </c>
      <c r="AB15" s="23" t="s">
        <v>187</v>
      </c>
      <c r="AC15" s="23" t="s">
        <v>262</v>
      </c>
      <c r="AD15" s="23" t="s">
        <v>187</v>
      </c>
      <c r="AE15" s="23" t="s">
        <v>187</v>
      </c>
      <c r="AF15" s="23" t="s">
        <v>263</v>
      </c>
      <c r="AG15" s="23" t="s">
        <v>187</v>
      </c>
      <c r="AH15" s="23" t="s">
        <v>187</v>
      </c>
      <c r="AI15" s="23" t="s">
        <v>187</v>
      </c>
      <c r="AJ15" s="23" t="s">
        <v>187</v>
      </c>
      <c r="AK15" s="23" t="s">
        <v>187</v>
      </c>
      <c r="AL15" s="23" t="s">
        <v>187</v>
      </c>
      <c r="AM15" s="23" t="s">
        <v>187</v>
      </c>
      <c r="AN15" s="23" t="s">
        <v>264</v>
      </c>
      <c r="AO15" s="23" t="s">
        <v>187</v>
      </c>
      <c r="AP15" s="23" t="s">
        <v>187</v>
      </c>
      <c r="AQ15" s="23" t="s">
        <v>187</v>
      </c>
      <c r="AR15" s="23" t="s">
        <v>187</v>
      </c>
      <c r="AS15" s="23" t="s">
        <v>187</v>
      </c>
      <c r="AT15" s="23" t="s">
        <v>187</v>
      </c>
      <c r="AU15" s="23" t="s">
        <v>187</v>
      </c>
      <c r="AV15" s="23" t="s">
        <v>224</v>
      </c>
      <c r="AW15" s="23" t="s">
        <v>265</v>
      </c>
    </row>
    <row r="16" ht="15" customHeight="1" spans="1:49" x14ac:dyDescent="0.25">
      <c r="A16" s="23">
        <v>15</v>
      </c>
      <c r="B16" s="23" t="s">
        <v>195</v>
      </c>
      <c r="C16" s="23">
        <v>69</v>
      </c>
      <c r="D16" s="23" t="s">
        <v>266</v>
      </c>
      <c r="E16" s="23" t="s">
        <v>187</v>
      </c>
      <c r="F16" s="23" t="s">
        <v>187</v>
      </c>
      <c r="G16" s="23" t="s">
        <v>189</v>
      </c>
      <c r="H16" s="23" t="s">
        <v>188</v>
      </c>
      <c r="I16" s="23" t="s">
        <v>189</v>
      </c>
      <c r="J16" s="23" t="s">
        <v>189</v>
      </c>
      <c r="K16" s="23" t="s">
        <v>189</v>
      </c>
      <c r="L16" s="23" t="s">
        <v>189</v>
      </c>
      <c r="M16" s="23" t="s">
        <v>189</v>
      </c>
      <c r="N16" s="23" t="s">
        <v>189</v>
      </c>
      <c r="O16" s="23" t="s">
        <v>189</v>
      </c>
      <c r="P16" s="23" t="s">
        <v>189</v>
      </c>
      <c r="Q16" s="23" t="s">
        <v>187</v>
      </c>
      <c r="R16" s="23" t="s">
        <v>187</v>
      </c>
      <c r="S16" s="23" t="s">
        <v>187</v>
      </c>
      <c r="T16" s="23" t="s">
        <v>187</v>
      </c>
      <c r="U16" s="23" t="s">
        <v>187</v>
      </c>
      <c r="V16" s="23" t="s">
        <v>187</v>
      </c>
      <c r="W16" s="23" t="s">
        <v>187</v>
      </c>
      <c r="X16" s="23" t="s">
        <v>187</v>
      </c>
      <c r="Y16" s="23" t="s">
        <v>267</v>
      </c>
      <c r="Z16" s="23" t="s">
        <v>187</v>
      </c>
      <c r="AA16" s="23" t="s">
        <v>187</v>
      </c>
      <c r="AB16" s="23" t="s">
        <v>187</v>
      </c>
      <c r="AC16" s="23" t="s">
        <v>187</v>
      </c>
      <c r="AD16" s="23" t="s">
        <v>187</v>
      </c>
      <c r="AE16" s="23" t="s">
        <v>187</v>
      </c>
      <c r="AF16" s="23" t="s">
        <v>187</v>
      </c>
      <c r="AG16" s="23" t="s">
        <v>187</v>
      </c>
      <c r="AH16" s="23" t="s">
        <v>187</v>
      </c>
      <c r="AI16" s="23" t="s">
        <v>187</v>
      </c>
      <c r="AJ16" s="23" t="s">
        <v>187</v>
      </c>
      <c r="AK16" s="23" t="s">
        <v>187</v>
      </c>
      <c r="AL16" s="23" t="s">
        <v>187</v>
      </c>
      <c r="AM16" s="23" t="s">
        <v>187</v>
      </c>
      <c r="AN16" s="23" t="s">
        <v>187</v>
      </c>
      <c r="AO16" s="23" t="s">
        <v>187</v>
      </c>
      <c r="AP16" s="23" t="s">
        <v>187</v>
      </c>
      <c r="AQ16" s="23" t="s">
        <v>187</v>
      </c>
      <c r="AR16" s="23" t="s">
        <v>187</v>
      </c>
      <c r="AS16" s="23" t="s">
        <v>187</v>
      </c>
      <c r="AT16" s="23" t="s">
        <v>187</v>
      </c>
      <c r="AU16" s="23" t="s">
        <v>187</v>
      </c>
      <c r="AV16" s="23" t="s">
        <v>224</v>
      </c>
      <c r="AW16" s="23" t="s">
        <v>87</v>
      </c>
    </row>
    <row r="17" ht="15" customHeight="1" spans="1:49" x14ac:dyDescent="0.25">
      <c r="A17" s="23">
        <v>16</v>
      </c>
      <c r="B17" s="23" t="s">
        <v>185</v>
      </c>
      <c r="C17" s="23">
        <v>45</v>
      </c>
      <c r="D17" s="23" t="s">
        <v>268</v>
      </c>
      <c r="E17" s="23" t="s">
        <v>187</v>
      </c>
      <c r="F17" s="23" t="s">
        <v>187</v>
      </c>
      <c r="G17" s="23" t="s">
        <v>188</v>
      </c>
      <c r="H17" s="23" t="s">
        <v>190</v>
      </c>
      <c r="I17" s="23" t="s">
        <v>189</v>
      </c>
      <c r="J17" s="23" t="s">
        <v>189</v>
      </c>
      <c r="K17" s="23" t="s">
        <v>188</v>
      </c>
      <c r="L17" s="23" t="s">
        <v>189</v>
      </c>
      <c r="M17" s="23" t="s">
        <v>189</v>
      </c>
      <c r="N17" s="23" t="s">
        <v>189</v>
      </c>
      <c r="O17" s="23" t="s">
        <v>189</v>
      </c>
      <c r="P17" s="23" t="s">
        <v>189</v>
      </c>
      <c r="Q17" s="23" t="s">
        <v>187</v>
      </c>
      <c r="R17" s="23" t="s">
        <v>187</v>
      </c>
      <c r="S17" s="23" t="s">
        <v>187</v>
      </c>
      <c r="T17" s="23" t="s">
        <v>200</v>
      </c>
      <c r="U17" s="23" t="s">
        <v>187</v>
      </c>
      <c r="V17" s="23" t="s">
        <v>200</v>
      </c>
      <c r="W17" s="23" t="s">
        <v>187</v>
      </c>
      <c r="X17" s="23" t="s">
        <v>187</v>
      </c>
      <c r="Y17" s="23" t="s">
        <v>269</v>
      </c>
      <c r="Z17" s="23" t="s">
        <v>187</v>
      </c>
      <c r="AA17" s="23" t="s">
        <v>270</v>
      </c>
      <c r="AB17" s="23" t="s">
        <v>187</v>
      </c>
      <c r="AC17" s="23" t="s">
        <v>187</v>
      </c>
      <c r="AD17" s="23" t="s">
        <v>187</v>
      </c>
      <c r="AE17" s="23" t="s">
        <v>187</v>
      </c>
      <c r="AF17" s="23" t="s">
        <v>187</v>
      </c>
      <c r="AG17" s="23" t="s">
        <v>187</v>
      </c>
      <c r="AH17" s="23" t="s">
        <v>187</v>
      </c>
      <c r="AI17" s="23" t="s">
        <v>187</v>
      </c>
      <c r="AJ17" s="23" t="s">
        <v>187</v>
      </c>
      <c r="AK17" s="23" t="s">
        <v>187</v>
      </c>
      <c r="AL17" s="23" t="s">
        <v>187</v>
      </c>
      <c r="AM17" s="23" t="s">
        <v>187</v>
      </c>
      <c r="AN17" s="23" t="s">
        <v>187</v>
      </c>
      <c r="AO17" s="23" t="s">
        <v>187</v>
      </c>
      <c r="AP17" s="23" t="s">
        <v>187</v>
      </c>
      <c r="AQ17" s="23" t="s">
        <v>187</v>
      </c>
      <c r="AR17" s="23" t="s">
        <v>187</v>
      </c>
      <c r="AS17" s="23" t="s">
        <v>187</v>
      </c>
      <c r="AT17" s="23" t="s">
        <v>187</v>
      </c>
      <c r="AU17" s="23" t="s">
        <v>187</v>
      </c>
      <c r="AV17" s="23" t="s">
        <v>224</v>
      </c>
      <c r="AW17" s="23" t="s">
        <v>90</v>
      </c>
    </row>
    <row r="18" ht="15" customHeight="1" spans="1:49" x14ac:dyDescent="0.25">
      <c r="A18" s="23">
        <v>17</v>
      </c>
      <c r="B18" s="23" t="s">
        <v>195</v>
      </c>
      <c r="C18" s="23">
        <v>26</v>
      </c>
      <c r="D18" s="23" t="s">
        <v>271</v>
      </c>
      <c r="E18" s="23" t="s">
        <v>200</v>
      </c>
      <c r="F18" s="23" t="s">
        <v>187</v>
      </c>
      <c r="G18" s="23" t="s">
        <v>189</v>
      </c>
      <c r="H18" s="23" t="s">
        <v>189</v>
      </c>
      <c r="I18" s="23" t="s">
        <v>189</v>
      </c>
      <c r="J18" s="23" t="s">
        <v>189</v>
      </c>
      <c r="K18" s="23" t="s">
        <v>189</v>
      </c>
      <c r="L18" s="23" t="s">
        <v>189</v>
      </c>
      <c r="M18" s="23" t="s">
        <v>189</v>
      </c>
      <c r="N18" s="23" t="s">
        <v>189</v>
      </c>
      <c r="O18" s="23" t="s">
        <v>189</v>
      </c>
      <c r="P18" s="23" t="s">
        <v>189</v>
      </c>
      <c r="Q18" s="23" t="s">
        <v>187</v>
      </c>
      <c r="R18" s="23" t="s">
        <v>187</v>
      </c>
      <c r="S18" s="23" t="s">
        <v>187</v>
      </c>
      <c r="T18" s="23" t="s">
        <v>187</v>
      </c>
      <c r="U18" s="23" t="s">
        <v>187</v>
      </c>
      <c r="V18" s="23" t="s">
        <v>187</v>
      </c>
      <c r="W18" s="23" t="s">
        <v>200</v>
      </c>
      <c r="X18" s="23" t="s">
        <v>187</v>
      </c>
      <c r="Y18" s="23" t="s">
        <v>272</v>
      </c>
      <c r="Z18" s="23" t="s">
        <v>187</v>
      </c>
      <c r="AA18" s="23" t="s">
        <v>187</v>
      </c>
      <c r="AB18" s="23" t="s">
        <v>187</v>
      </c>
      <c r="AC18" s="23" t="s">
        <v>187</v>
      </c>
      <c r="AD18" s="23" t="s">
        <v>187</v>
      </c>
      <c r="AE18" s="23" t="s">
        <v>187</v>
      </c>
      <c r="AF18" s="23" t="s">
        <v>187</v>
      </c>
      <c r="AG18" s="23" t="s">
        <v>187</v>
      </c>
      <c r="AH18" s="23" t="s">
        <v>187</v>
      </c>
      <c r="AI18" s="23" t="s">
        <v>187</v>
      </c>
      <c r="AJ18" s="23" t="s">
        <v>187</v>
      </c>
      <c r="AK18" s="23" t="s">
        <v>187</v>
      </c>
      <c r="AL18" s="23" t="s">
        <v>187</v>
      </c>
      <c r="AM18" s="23" t="s">
        <v>187</v>
      </c>
      <c r="AN18" s="23" t="s">
        <v>187</v>
      </c>
      <c r="AO18" s="23" t="s">
        <v>187</v>
      </c>
      <c r="AP18" s="23" t="s">
        <v>187</v>
      </c>
      <c r="AQ18" s="23" t="s">
        <v>187</v>
      </c>
      <c r="AR18" s="23" t="s">
        <v>187</v>
      </c>
      <c r="AS18" s="23" t="s">
        <v>187</v>
      </c>
      <c r="AT18" s="23" t="s">
        <v>187</v>
      </c>
      <c r="AU18" s="23" t="s">
        <v>187</v>
      </c>
      <c r="AV18" s="23" t="s">
        <v>224</v>
      </c>
      <c r="AW18" s="23" t="s">
        <v>273</v>
      </c>
    </row>
    <row r="19" ht="15" customHeight="1" spans="1:49" x14ac:dyDescent="0.25">
      <c r="A19" s="23">
        <v>18</v>
      </c>
      <c r="B19" s="23" t="s">
        <v>185</v>
      </c>
      <c r="C19" s="23">
        <v>39</v>
      </c>
      <c r="D19" s="23" t="s">
        <v>207</v>
      </c>
      <c r="E19" s="23" t="s">
        <v>274</v>
      </c>
      <c r="F19" s="23" t="s">
        <v>200</v>
      </c>
      <c r="G19" s="23" t="s">
        <v>188</v>
      </c>
      <c r="H19" s="23" t="s">
        <v>188</v>
      </c>
      <c r="I19" s="23" t="s">
        <v>274</v>
      </c>
      <c r="J19" s="23" t="s">
        <v>274</v>
      </c>
      <c r="K19" s="23" t="s">
        <v>274</v>
      </c>
      <c r="L19" s="23" t="s">
        <v>274</v>
      </c>
      <c r="M19" s="23" t="s">
        <v>274</v>
      </c>
      <c r="N19" s="23" t="s">
        <v>274</v>
      </c>
      <c r="O19" s="23" t="s">
        <v>188</v>
      </c>
      <c r="P19" s="23" t="s">
        <v>189</v>
      </c>
      <c r="Q19" s="23" t="s">
        <v>187</v>
      </c>
      <c r="R19" s="23" t="s">
        <v>187</v>
      </c>
      <c r="S19" s="23" t="s">
        <v>187</v>
      </c>
      <c r="T19" s="23" t="s">
        <v>187</v>
      </c>
      <c r="U19" s="23" t="s">
        <v>187</v>
      </c>
      <c r="V19" s="23" t="s">
        <v>187</v>
      </c>
      <c r="W19" s="23" t="s">
        <v>187</v>
      </c>
      <c r="X19" s="23" t="s">
        <v>187</v>
      </c>
      <c r="Y19" s="23" t="s">
        <v>275</v>
      </c>
      <c r="Z19" s="23" t="s">
        <v>187</v>
      </c>
      <c r="AA19" s="23" t="s">
        <v>187</v>
      </c>
      <c r="AB19" s="23" t="s">
        <v>187</v>
      </c>
      <c r="AC19" s="23" t="s">
        <v>276</v>
      </c>
      <c r="AD19" s="23" t="s">
        <v>187</v>
      </c>
      <c r="AE19" s="23" t="s">
        <v>277</v>
      </c>
      <c r="AF19" s="23" t="s">
        <v>187</v>
      </c>
      <c r="AG19" s="23" t="s">
        <v>278</v>
      </c>
      <c r="AH19" s="23" t="s">
        <v>187</v>
      </c>
      <c r="AI19" s="23" t="s">
        <v>187</v>
      </c>
      <c r="AJ19" s="23" t="s">
        <v>187</v>
      </c>
      <c r="AK19" s="23" t="s">
        <v>187</v>
      </c>
      <c r="AL19" s="23" t="s">
        <v>187</v>
      </c>
      <c r="AM19" s="23" t="s">
        <v>187</v>
      </c>
      <c r="AN19" s="23" t="s">
        <v>279</v>
      </c>
      <c r="AO19" s="23" t="s">
        <v>187</v>
      </c>
      <c r="AP19" s="23" t="s">
        <v>187</v>
      </c>
      <c r="AQ19" s="23" t="s">
        <v>187</v>
      </c>
      <c r="AR19" s="23" t="s">
        <v>187</v>
      </c>
      <c r="AS19" s="23" t="s">
        <v>187</v>
      </c>
      <c r="AT19" s="23" t="s">
        <v>187</v>
      </c>
      <c r="AU19" s="23" t="s">
        <v>187</v>
      </c>
      <c r="AV19" s="23" t="s">
        <v>224</v>
      </c>
      <c r="AW19" s="23" t="s">
        <v>94</v>
      </c>
    </row>
    <row r="20" ht="15" customHeight="1" spans="1:49" x14ac:dyDescent="0.25">
      <c r="A20" s="23">
        <v>19</v>
      </c>
      <c r="B20" s="23" t="s">
        <v>195</v>
      </c>
      <c r="C20" s="23">
        <v>56</v>
      </c>
      <c r="D20" s="23" t="s">
        <v>280</v>
      </c>
      <c r="E20" s="23" t="s">
        <v>190</v>
      </c>
      <c r="F20" s="23" t="s">
        <v>190</v>
      </c>
      <c r="G20" s="23" t="s">
        <v>190</v>
      </c>
      <c r="H20" s="23" t="s">
        <v>190</v>
      </c>
      <c r="I20" s="23" t="s">
        <v>188</v>
      </c>
      <c r="J20" s="23" t="s">
        <v>188</v>
      </c>
      <c r="K20" s="23" t="s">
        <v>190</v>
      </c>
      <c r="L20" s="23" t="s">
        <v>274</v>
      </c>
      <c r="M20" s="23" t="s">
        <v>190</v>
      </c>
      <c r="N20" s="23" t="s">
        <v>188</v>
      </c>
      <c r="O20" s="23" t="s">
        <v>190</v>
      </c>
      <c r="P20" s="23" t="s">
        <v>190</v>
      </c>
      <c r="Q20" s="23" t="s">
        <v>200</v>
      </c>
      <c r="R20" s="23" t="s">
        <v>191</v>
      </c>
      <c r="S20" s="23" t="s">
        <v>191</v>
      </c>
      <c r="T20" s="23" t="s">
        <v>200</v>
      </c>
      <c r="U20" s="23" t="s">
        <v>187</v>
      </c>
      <c r="V20" s="23" t="s">
        <v>187</v>
      </c>
      <c r="W20" s="23" t="s">
        <v>191</v>
      </c>
      <c r="X20" s="23" t="s">
        <v>187</v>
      </c>
      <c r="Y20" s="23" t="s">
        <v>281</v>
      </c>
      <c r="Z20" s="23" t="s">
        <v>282</v>
      </c>
      <c r="AA20" s="23" t="s">
        <v>187</v>
      </c>
      <c r="AB20" s="23" t="s">
        <v>187</v>
      </c>
      <c r="AC20" s="23" t="s">
        <v>187</v>
      </c>
      <c r="AD20" s="23" t="s">
        <v>187</v>
      </c>
      <c r="AE20" s="23" t="s">
        <v>187</v>
      </c>
      <c r="AF20" s="23" t="s">
        <v>187</v>
      </c>
      <c r="AG20" s="23" t="s">
        <v>187</v>
      </c>
      <c r="AH20" s="23" t="s">
        <v>187</v>
      </c>
      <c r="AI20" s="23" t="s">
        <v>187</v>
      </c>
      <c r="AJ20" s="23" t="s">
        <v>187</v>
      </c>
      <c r="AK20" s="23" t="s">
        <v>187</v>
      </c>
      <c r="AL20" s="23" t="s">
        <v>187</v>
      </c>
      <c r="AM20" s="23" t="s">
        <v>187</v>
      </c>
      <c r="AN20" s="23" t="s">
        <v>187</v>
      </c>
      <c r="AO20" s="23" t="s">
        <v>187</v>
      </c>
      <c r="AP20" s="23" t="s">
        <v>187</v>
      </c>
      <c r="AQ20" s="23" t="s">
        <v>187</v>
      </c>
      <c r="AR20" s="23" t="s">
        <v>187</v>
      </c>
      <c r="AS20" s="23" t="s">
        <v>187</v>
      </c>
      <c r="AT20" s="23" t="s">
        <v>187</v>
      </c>
      <c r="AU20" s="23" t="s">
        <v>187</v>
      </c>
      <c r="AV20" s="23" t="s">
        <v>224</v>
      </c>
      <c r="AW20" s="23" t="s">
        <v>96</v>
      </c>
    </row>
    <row r="21" ht="15" customHeight="1" spans="1:49" x14ac:dyDescent="0.25">
      <c r="A21" s="23">
        <v>20</v>
      </c>
      <c r="B21" s="23" t="s">
        <v>195</v>
      </c>
      <c r="C21" s="23">
        <v>56</v>
      </c>
      <c r="D21" s="23" t="s">
        <v>283</v>
      </c>
      <c r="E21" s="23" t="s">
        <v>188</v>
      </c>
      <c r="F21" s="23" t="s">
        <v>190</v>
      </c>
      <c r="G21" s="23" t="s">
        <v>190</v>
      </c>
      <c r="H21" s="23" t="s">
        <v>190</v>
      </c>
      <c r="I21" s="23" t="s">
        <v>190</v>
      </c>
      <c r="J21" s="23" t="s">
        <v>188</v>
      </c>
      <c r="K21" s="23" t="s">
        <v>190</v>
      </c>
      <c r="L21" s="23" t="s">
        <v>274</v>
      </c>
      <c r="M21" s="23" t="s">
        <v>190</v>
      </c>
      <c r="N21" s="23" t="s">
        <v>188</v>
      </c>
      <c r="O21" s="23" t="s">
        <v>190</v>
      </c>
      <c r="P21" s="23" t="s">
        <v>190</v>
      </c>
      <c r="Q21" s="23" t="s">
        <v>191</v>
      </c>
      <c r="R21" s="23" t="s">
        <v>191</v>
      </c>
      <c r="S21" s="23" t="s">
        <v>191</v>
      </c>
      <c r="T21" s="23" t="s">
        <v>191</v>
      </c>
      <c r="U21" s="23" t="s">
        <v>191</v>
      </c>
      <c r="V21" s="23" t="s">
        <v>191</v>
      </c>
      <c r="W21" s="23" t="s">
        <v>191</v>
      </c>
      <c r="X21" s="23" t="s">
        <v>187</v>
      </c>
      <c r="Y21" s="23" t="s">
        <v>284</v>
      </c>
      <c r="Z21" s="23" t="s">
        <v>285</v>
      </c>
      <c r="AA21" s="23" t="s">
        <v>187</v>
      </c>
      <c r="AB21" s="23" t="s">
        <v>187</v>
      </c>
      <c r="AC21" s="23" t="s">
        <v>187</v>
      </c>
      <c r="AD21" s="23" t="s">
        <v>187</v>
      </c>
      <c r="AE21" s="23" t="s">
        <v>187</v>
      </c>
      <c r="AF21" s="23" t="s">
        <v>187</v>
      </c>
      <c r="AG21" s="23" t="s">
        <v>187</v>
      </c>
      <c r="AH21" s="23" t="s">
        <v>187</v>
      </c>
      <c r="AI21" s="23" t="s">
        <v>187</v>
      </c>
      <c r="AJ21" s="23" t="s">
        <v>187</v>
      </c>
      <c r="AK21" s="23" t="s">
        <v>187</v>
      </c>
      <c r="AL21" s="23" t="s">
        <v>187</v>
      </c>
      <c r="AM21" s="23" t="s">
        <v>187</v>
      </c>
      <c r="AN21" s="23" t="s">
        <v>187</v>
      </c>
      <c r="AO21" s="23" t="s">
        <v>187</v>
      </c>
      <c r="AP21" s="23" t="s">
        <v>187</v>
      </c>
      <c r="AQ21" s="23" t="s">
        <v>187</v>
      </c>
      <c r="AR21" s="23" t="s">
        <v>187</v>
      </c>
      <c r="AS21" s="23" t="s">
        <v>187</v>
      </c>
      <c r="AT21" s="23" t="s">
        <v>286</v>
      </c>
      <c r="AU21" s="23" t="s">
        <v>187</v>
      </c>
      <c r="AV21" s="23" t="s">
        <v>224</v>
      </c>
      <c r="AW21" s="23" t="s">
        <v>98</v>
      </c>
    </row>
    <row r="22" ht="15" customHeight="1" spans="1:49" x14ac:dyDescent="0.25">
      <c r="A22" s="23">
        <v>21</v>
      </c>
      <c r="B22" s="23" t="s">
        <v>195</v>
      </c>
      <c r="C22" s="23">
        <v>64</v>
      </c>
      <c r="D22" s="23" t="s">
        <v>245</v>
      </c>
      <c r="E22" s="23" t="s">
        <v>274</v>
      </c>
      <c r="F22" s="23" t="s">
        <v>274</v>
      </c>
      <c r="G22" s="23" t="s">
        <v>274</v>
      </c>
      <c r="H22" s="23" t="s">
        <v>274</v>
      </c>
      <c r="I22" s="23" t="s">
        <v>274</v>
      </c>
      <c r="J22" s="23" t="s">
        <v>274</v>
      </c>
      <c r="K22" s="23" t="s">
        <v>274</v>
      </c>
      <c r="L22" s="23" t="s">
        <v>274</v>
      </c>
      <c r="M22" s="23" t="s">
        <v>274</v>
      </c>
      <c r="N22" s="23" t="s">
        <v>274</v>
      </c>
      <c r="O22" s="23" t="s">
        <v>274</v>
      </c>
      <c r="P22" s="23" t="s">
        <v>188</v>
      </c>
      <c r="Q22" s="23" t="s">
        <v>187</v>
      </c>
      <c r="R22" s="23" t="s">
        <v>187</v>
      </c>
      <c r="S22" s="23" t="s">
        <v>187</v>
      </c>
      <c r="T22" s="23" t="s">
        <v>200</v>
      </c>
      <c r="U22" s="23" t="s">
        <v>187</v>
      </c>
      <c r="V22" s="23" t="s">
        <v>187</v>
      </c>
      <c r="W22" s="23" t="s">
        <v>187</v>
      </c>
      <c r="X22" s="23" t="s">
        <v>187</v>
      </c>
      <c r="Y22" s="23" t="s">
        <v>287</v>
      </c>
      <c r="Z22" s="23" t="s">
        <v>187</v>
      </c>
      <c r="AA22" s="23" t="s">
        <v>187</v>
      </c>
      <c r="AB22" s="23" t="s">
        <v>187</v>
      </c>
      <c r="AC22" s="23" t="s">
        <v>187</v>
      </c>
      <c r="AD22" s="23" t="s">
        <v>187</v>
      </c>
      <c r="AE22" s="23" t="s">
        <v>187</v>
      </c>
      <c r="AF22" s="23" t="s">
        <v>187</v>
      </c>
      <c r="AG22" s="23" t="s">
        <v>187</v>
      </c>
      <c r="AH22" s="23" t="s">
        <v>187</v>
      </c>
      <c r="AI22" s="23" t="s">
        <v>187</v>
      </c>
      <c r="AJ22" s="23" t="s">
        <v>187</v>
      </c>
      <c r="AK22" s="23" t="s">
        <v>187</v>
      </c>
      <c r="AL22" s="23" t="s">
        <v>187</v>
      </c>
      <c r="AM22" s="23" t="s">
        <v>187</v>
      </c>
      <c r="AN22" s="23" t="s">
        <v>187</v>
      </c>
      <c r="AO22" s="23" t="s">
        <v>288</v>
      </c>
      <c r="AP22" s="23" t="s">
        <v>187</v>
      </c>
      <c r="AQ22" s="23" t="s">
        <v>187</v>
      </c>
      <c r="AR22" s="23" t="s">
        <v>187</v>
      </c>
      <c r="AS22" s="23" t="s">
        <v>187</v>
      </c>
      <c r="AT22" s="23" t="s">
        <v>187</v>
      </c>
      <c r="AU22" s="23" t="s">
        <v>187</v>
      </c>
      <c r="AV22" s="23" t="s">
        <v>224</v>
      </c>
      <c r="AW22" s="23" t="s">
        <v>101</v>
      </c>
    </row>
    <row r="23" ht="15" customHeight="1" spans="1:49" x14ac:dyDescent="0.25">
      <c r="A23" s="23">
        <v>22</v>
      </c>
      <c r="B23" s="23" t="s">
        <v>185</v>
      </c>
      <c r="C23" s="23">
        <v>54</v>
      </c>
      <c r="D23" s="23" t="s">
        <v>231</v>
      </c>
      <c r="E23" s="23" t="s">
        <v>188</v>
      </c>
      <c r="F23" s="23" t="s">
        <v>274</v>
      </c>
      <c r="G23" s="23" t="s">
        <v>274</v>
      </c>
      <c r="H23" s="23" t="s">
        <v>188</v>
      </c>
      <c r="I23" s="23" t="s">
        <v>274</v>
      </c>
      <c r="J23" s="23" t="s">
        <v>274</v>
      </c>
      <c r="K23" s="23" t="s">
        <v>274</v>
      </c>
      <c r="L23" s="23" t="s">
        <v>274</v>
      </c>
      <c r="M23" s="23" t="s">
        <v>274</v>
      </c>
      <c r="N23" s="23" t="s">
        <v>274</v>
      </c>
      <c r="O23" s="23" t="s">
        <v>274</v>
      </c>
      <c r="P23" s="23" t="s">
        <v>189</v>
      </c>
      <c r="Q23" s="23" t="s">
        <v>200</v>
      </c>
      <c r="R23" s="23" t="s">
        <v>187</v>
      </c>
      <c r="S23" s="23" t="s">
        <v>187</v>
      </c>
      <c r="T23" s="23" t="s">
        <v>187</v>
      </c>
      <c r="U23" s="23" t="s">
        <v>187</v>
      </c>
      <c r="V23" s="23" t="s">
        <v>187</v>
      </c>
      <c r="W23" s="23" t="s">
        <v>191</v>
      </c>
      <c r="X23" s="23" t="s">
        <v>187</v>
      </c>
      <c r="Y23" s="23" t="s">
        <v>289</v>
      </c>
      <c r="Z23" s="23" t="s">
        <v>290</v>
      </c>
      <c r="AA23" s="23" t="s">
        <v>291</v>
      </c>
      <c r="AB23" s="23">
        <v>-52</v>
      </c>
      <c r="AC23" s="23" t="s">
        <v>292</v>
      </c>
      <c r="AD23" s="23" t="s">
        <v>187</v>
      </c>
      <c r="AE23" s="23" t="s">
        <v>293</v>
      </c>
      <c r="AF23" s="23" t="s">
        <v>187</v>
      </c>
      <c r="AG23" s="23" t="s">
        <v>187</v>
      </c>
      <c r="AH23" s="23" t="s">
        <v>187</v>
      </c>
      <c r="AI23" s="23" t="s">
        <v>187</v>
      </c>
      <c r="AJ23" s="23" t="s">
        <v>187</v>
      </c>
      <c r="AK23" s="23" t="s">
        <v>187</v>
      </c>
      <c r="AL23" s="23" t="s">
        <v>187</v>
      </c>
      <c r="AM23" s="23" t="s">
        <v>187</v>
      </c>
      <c r="AN23" s="23" t="s">
        <v>187</v>
      </c>
      <c r="AO23" s="23" t="s">
        <v>187</v>
      </c>
      <c r="AP23" s="23" t="s">
        <v>187</v>
      </c>
      <c r="AQ23" s="23" t="s">
        <v>187</v>
      </c>
      <c r="AR23" s="23" t="s">
        <v>187</v>
      </c>
      <c r="AS23" s="23" t="s">
        <v>187</v>
      </c>
      <c r="AT23" s="23" t="s">
        <v>187</v>
      </c>
      <c r="AU23" s="23" t="s">
        <v>187</v>
      </c>
      <c r="AV23" s="23" t="s">
        <v>224</v>
      </c>
      <c r="AW23" s="23" t="s">
        <v>294</v>
      </c>
    </row>
    <row r="24" ht="15" customHeight="1" spans="1:49" x14ac:dyDescent="0.25">
      <c r="A24" s="23">
        <v>23</v>
      </c>
      <c r="B24" s="23" t="s">
        <v>195</v>
      </c>
      <c r="C24" s="23" t="s">
        <v>295</v>
      </c>
      <c r="D24" s="23" t="s">
        <v>245</v>
      </c>
      <c r="E24" s="23" t="s">
        <v>190</v>
      </c>
      <c r="F24" s="23" t="s">
        <v>274</v>
      </c>
      <c r="G24" s="23" t="s">
        <v>274</v>
      </c>
      <c r="H24" s="23" t="s">
        <v>274</v>
      </c>
      <c r="I24" s="23" t="s">
        <v>274</v>
      </c>
      <c r="J24" s="23" t="s">
        <v>274</v>
      </c>
      <c r="K24" s="23" t="s">
        <v>274</v>
      </c>
      <c r="L24" s="23" t="s">
        <v>274</v>
      </c>
      <c r="M24" s="23" t="s">
        <v>274</v>
      </c>
      <c r="N24" s="23" t="s">
        <v>274</v>
      </c>
      <c r="O24" s="23" t="s">
        <v>274</v>
      </c>
      <c r="P24" s="23" t="s">
        <v>189</v>
      </c>
      <c r="Q24" s="23" t="s">
        <v>187</v>
      </c>
      <c r="R24" s="23" t="s">
        <v>187</v>
      </c>
      <c r="S24" s="23" t="s">
        <v>187</v>
      </c>
      <c r="T24" s="23" t="s">
        <v>187</v>
      </c>
      <c r="U24" s="23" t="s">
        <v>187</v>
      </c>
      <c r="V24" s="23" t="s">
        <v>187</v>
      </c>
      <c r="W24" s="23" t="s">
        <v>200</v>
      </c>
      <c r="X24" s="23" t="s">
        <v>187</v>
      </c>
      <c r="Y24" s="23" t="s">
        <v>296</v>
      </c>
      <c r="Z24" s="23" t="s">
        <v>297</v>
      </c>
      <c r="AA24" s="23" t="s">
        <v>298</v>
      </c>
      <c r="AB24" s="23" t="s">
        <v>187</v>
      </c>
      <c r="AC24" s="23" t="s">
        <v>187</v>
      </c>
      <c r="AD24" s="23" t="s">
        <v>187</v>
      </c>
      <c r="AE24" s="23" t="s">
        <v>187</v>
      </c>
      <c r="AF24" s="23" t="s">
        <v>187</v>
      </c>
      <c r="AG24" s="23" t="s">
        <v>187</v>
      </c>
      <c r="AH24" s="23" t="s">
        <v>187</v>
      </c>
      <c r="AI24" s="23" t="s">
        <v>187</v>
      </c>
      <c r="AJ24" s="23" t="s">
        <v>187</v>
      </c>
      <c r="AK24" s="23" t="s">
        <v>187</v>
      </c>
      <c r="AL24" s="23" t="s">
        <v>187</v>
      </c>
      <c r="AM24" s="23" t="s">
        <v>187</v>
      </c>
      <c r="AN24" s="23" t="s">
        <v>187</v>
      </c>
      <c r="AO24" s="23" t="s">
        <v>187</v>
      </c>
      <c r="AP24" s="23" t="s">
        <v>187</v>
      </c>
      <c r="AQ24" s="23" t="s">
        <v>187</v>
      </c>
      <c r="AR24" s="23" t="s">
        <v>187</v>
      </c>
      <c r="AS24" s="23" t="s">
        <v>187</v>
      </c>
      <c r="AT24" s="23" t="s">
        <v>187</v>
      </c>
      <c r="AU24" s="23" t="s">
        <v>187</v>
      </c>
      <c r="AV24" s="23" t="s">
        <v>224</v>
      </c>
      <c r="AW24" s="23" t="s">
        <v>105</v>
      </c>
    </row>
    <row r="25" ht="15" customHeight="1" spans="1:49" x14ac:dyDescent="0.25">
      <c r="A25" s="23">
        <v>24</v>
      </c>
      <c r="B25" s="23" t="s">
        <v>195</v>
      </c>
      <c r="C25" s="23">
        <v>48</v>
      </c>
      <c r="D25" s="23" t="s">
        <v>299</v>
      </c>
      <c r="E25" s="23" t="s">
        <v>188</v>
      </c>
      <c r="F25" s="23" t="s">
        <v>274</v>
      </c>
      <c r="G25" s="23" t="s">
        <v>188</v>
      </c>
      <c r="H25" s="23" t="s">
        <v>190</v>
      </c>
      <c r="I25" s="23" t="s">
        <v>274</v>
      </c>
      <c r="J25" s="23" t="s">
        <v>274</v>
      </c>
      <c r="K25" s="23" t="s">
        <v>274</v>
      </c>
      <c r="L25" s="23" t="s">
        <v>274</v>
      </c>
      <c r="M25" s="23" t="s">
        <v>274</v>
      </c>
      <c r="N25" s="23" t="s">
        <v>274</v>
      </c>
      <c r="O25" s="23" t="s">
        <v>274</v>
      </c>
      <c r="P25" s="23" t="s">
        <v>189</v>
      </c>
      <c r="Q25" s="23" t="s">
        <v>187</v>
      </c>
      <c r="R25" s="23" t="s">
        <v>200</v>
      </c>
      <c r="S25" s="23" t="s">
        <v>187</v>
      </c>
      <c r="T25" s="23" t="s">
        <v>187</v>
      </c>
      <c r="U25" s="23" t="s">
        <v>187</v>
      </c>
      <c r="V25" s="23" t="s">
        <v>187</v>
      </c>
      <c r="W25" s="23" t="s">
        <v>200</v>
      </c>
      <c r="X25" s="23" t="s">
        <v>187</v>
      </c>
      <c r="Y25" s="23" t="s">
        <v>300</v>
      </c>
      <c r="Z25" s="23" t="s">
        <v>187</v>
      </c>
      <c r="AA25" s="23" t="s">
        <v>187</v>
      </c>
      <c r="AB25" s="23" t="s">
        <v>187</v>
      </c>
      <c r="AC25" s="23" t="s">
        <v>187</v>
      </c>
      <c r="AD25" s="23" t="s">
        <v>187</v>
      </c>
      <c r="AE25" s="23">
        <v>60</v>
      </c>
      <c r="AF25" s="23" t="s">
        <v>187</v>
      </c>
      <c r="AG25" s="23" t="s">
        <v>301</v>
      </c>
      <c r="AH25" s="23" t="s">
        <v>187</v>
      </c>
      <c r="AI25" s="23" t="s">
        <v>187</v>
      </c>
      <c r="AJ25" s="23" t="s">
        <v>187</v>
      </c>
      <c r="AK25" s="23" t="s">
        <v>187</v>
      </c>
      <c r="AL25" s="23" t="s">
        <v>187</v>
      </c>
      <c r="AM25" s="23" t="s">
        <v>187</v>
      </c>
      <c r="AN25" s="23" t="s">
        <v>187</v>
      </c>
      <c r="AO25" s="23" t="s">
        <v>187</v>
      </c>
      <c r="AP25" s="23" t="s">
        <v>187</v>
      </c>
      <c r="AQ25" s="23" t="s">
        <v>187</v>
      </c>
      <c r="AR25" s="23" t="s">
        <v>187</v>
      </c>
      <c r="AS25" s="23" t="s">
        <v>187</v>
      </c>
      <c r="AT25" s="23" t="s">
        <v>187</v>
      </c>
      <c r="AU25" s="23" t="s">
        <v>187</v>
      </c>
      <c r="AV25" s="23" t="s">
        <v>224</v>
      </c>
      <c r="AW25" s="23" t="s">
        <v>302</v>
      </c>
    </row>
    <row r="26" ht="15" customHeight="1" spans="1:49" x14ac:dyDescent="0.25">
      <c r="A26" s="23">
        <v>25</v>
      </c>
      <c r="B26" s="23" t="s">
        <v>195</v>
      </c>
      <c r="C26" s="23" t="s">
        <v>303</v>
      </c>
      <c r="D26" s="23" t="s">
        <v>266</v>
      </c>
      <c r="E26" s="23" t="s">
        <v>188</v>
      </c>
      <c r="F26" s="23" t="s">
        <v>274</v>
      </c>
      <c r="G26" s="23" t="s">
        <v>188</v>
      </c>
      <c r="H26" s="23" t="s">
        <v>188</v>
      </c>
      <c r="I26" s="23" t="s">
        <v>274</v>
      </c>
      <c r="J26" s="23" t="s">
        <v>274</v>
      </c>
      <c r="K26" s="23" t="s">
        <v>274</v>
      </c>
      <c r="L26" s="23" t="s">
        <v>188</v>
      </c>
      <c r="M26" s="23" t="s">
        <v>274</v>
      </c>
      <c r="N26" s="23" t="s">
        <v>274</v>
      </c>
      <c r="O26" s="23" t="s">
        <v>274</v>
      </c>
      <c r="P26" s="23" t="s">
        <v>189</v>
      </c>
      <c r="Q26" s="23" t="s">
        <v>187</v>
      </c>
      <c r="R26" s="23" t="s">
        <v>187</v>
      </c>
      <c r="S26" s="23" t="s">
        <v>187</v>
      </c>
      <c r="T26" s="23" t="s">
        <v>187</v>
      </c>
      <c r="U26" s="23" t="s">
        <v>187</v>
      </c>
      <c r="V26" s="23" t="s">
        <v>187</v>
      </c>
      <c r="W26" s="23" t="s">
        <v>187</v>
      </c>
      <c r="X26" s="23" t="s">
        <v>187</v>
      </c>
      <c r="Y26" s="23" t="s">
        <v>192</v>
      </c>
      <c r="Z26" s="23" t="s">
        <v>304</v>
      </c>
      <c r="AA26" s="23" t="s">
        <v>187</v>
      </c>
      <c r="AB26" s="23" t="s">
        <v>187</v>
      </c>
      <c r="AC26" s="23" t="s">
        <v>305</v>
      </c>
      <c r="AD26" s="23" t="s">
        <v>187</v>
      </c>
      <c r="AE26" s="23" t="s">
        <v>187</v>
      </c>
      <c r="AF26" s="23" t="s">
        <v>187</v>
      </c>
      <c r="AG26" s="23" t="s">
        <v>187</v>
      </c>
      <c r="AH26" s="23" t="s">
        <v>187</v>
      </c>
      <c r="AI26" s="23" t="s">
        <v>187</v>
      </c>
      <c r="AJ26" s="23" t="s">
        <v>187</v>
      </c>
      <c r="AK26" s="23" t="s">
        <v>187</v>
      </c>
      <c r="AL26" s="23" t="s">
        <v>187</v>
      </c>
      <c r="AM26" s="23" t="s">
        <v>187</v>
      </c>
      <c r="AN26" s="23" t="s">
        <v>187</v>
      </c>
      <c r="AO26" s="23" t="s">
        <v>187</v>
      </c>
      <c r="AP26" s="23" t="s">
        <v>187</v>
      </c>
      <c r="AQ26" s="23" t="s">
        <v>187</v>
      </c>
      <c r="AR26" s="23" t="s">
        <v>187</v>
      </c>
      <c r="AS26" s="23" t="s">
        <v>187</v>
      </c>
      <c r="AT26" s="23" t="s">
        <v>187</v>
      </c>
      <c r="AU26" s="23" t="s">
        <v>187</v>
      </c>
      <c r="AV26" s="23" t="s">
        <v>224</v>
      </c>
      <c r="AW26" s="23" t="s">
        <v>306</v>
      </c>
    </row>
    <row r="27" ht="15" customHeight="1" spans="1:49" x14ac:dyDescent="0.25">
      <c r="A27" s="23">
        <v>26</v>
      </c>
      <c r="B27" s="23" t="s">
        <v>195</v>
      </c>
      <c r="C27" s="23">
        <v>66</v>
      </c>
      <c r="D27" s="23" t="s">
        <v>307</v>
      </c>
      <c r="E27" s="23" t="s">
        <v>190</v>
      </c>
      <c r="F27" s="23" t="s">
        <v>190</v>
      </c>
      <c r="G27" s="23" t="s">
        <v>188</v>
      </c>
      <c r="H27" s="23" t="s">
        <v>190</v>
      </c>
      <c r="I27" s="23" t="s">
        <v>190</v>
      </c>
      <c r="J27" s="23" t="s">
        <v>188</v>
      </c>
      <c r="K27" s="23" t="s">
        <v>188</v>
      </c>
      <c r="L27" s="23" t="s">
        <v>190</v>
      </c>
      <c r="M27" s="23" t="s">
        <v>274</v>
      </c>
      <c r="N27" s="23" t="s">
        <v>274</v>
      </c>
      <c r="O27" s="23" t="s">
        <v>274</v>
      </c>
      <c r="P27" s="23" t="s">
        <v>189</v>
      </c>
      <c r="Q27" s="23" t="s">
        <v>187</v>
      </c>
      <c r="R27" s="23" t="s">
        <v>187</v>
      </c>
      <c r="S27" s="23" t="s">
        <v>187</v>
      </c>
      <c r="T27" s="23" t="s">
        <v>187</v>
      </c>
      <c r="U27" s="23" t="s">
        <v>187</v>
      </c>
      <c r="V27" s="23" t="s">
        <v>187</v>
      </c>
      <c r="W27" s="23" t="s">
        <v>187</v>
      </c>
      <c r="X27" s="23" t="s">
        <v>187</v>
      </c>
      <c r="Y27" s="23" t="s">
        <v>308</v>
      </c>
      <c r="Z27" s="23" t="s">
        <v>309</v>
      </c>
      <c r="AA27" s="23" t="s">
        <v>187</v>
      </c>
      <c r="AB27" s="23" t="s">
        <v>187</v>
      </c>
      <c r="AC27" s="23" t="s">
        <v>187</v>
      </c>
      <c r="AD27" s="23" t="s">
        <v>187</v>
      </c>
      <c r="AE27" s="23" t="s">
        <v>187</v>
      </c>
      <c r="AF27" s="23" t="s">
        <v>187</v>
      </c>
      <c r="AG27" s="23" t="s">
        <v>187</v>
      </c>
      <c r="AH27" s="23" t="s">
        <v>187</v>
      </c>
      <c r="AI27" s="23" t="s">
        <v>187</v>
      </c>
      <c r="AJ27" s="23" t="s">
        <v>187</v>
      </c>
      <c r="AK27" s="23" t="s">
        <v>187</v>
      </c>
      <c r="AL27" s="23" t="s">
        <v>187</v>
      </c>
      <c r="AM27" s="23" t="s">
        <v>187</v>
      </c>
      <c r="AN27" s="23" t="s">
        <v>187</v>
      </c>
      <c r="AO27" s="23" t="s">
        <v>187</v>
      </c>
      <c r="AP27" s="23" t="s">
        <v>187</v>
      </c>
      <c r="AQ27" s="23" t="s">
        <v>187</v>
      </c>
      <c r="AR27" s="23" t="s">
        <v>187</v>
      </c>
      <c r="AS27" s="23" t="s">
        <v>187</v>
      </c>
      <c r="AT27" s="23" t="s">
        <v>187</v>
      </c>
      <c r="AU27" s="23" t="s">
        <v>187</v>
      </c>
      <c r="AV27" s="23" t="s">
        <v>224</v>
      </c>
      <c r="AW27" s="23" t="s">
        <v>310</v>
      </c>
    </row>
    <row r="28" ht="15" customHeight="1" spans="1:49" x14ac:dyDescent="0.25">
      <c r="A28" s="23">
        <v>27</v>
      </c>
      <c r="B28" s="23" t="s">
        <v>185</v>
      </c>
      <c r="C28" s="23" t="s">
        <v>311</v>
      </c>
      <c r="D28" s="23" t="s">
        <v>312</v>
      </c>
      <c r="E28" s="23" t="s">
        <v>313</v>
      </c>
      <c r="F28" s="23" t="s">
        <v>313</v>
      </c>
      <c r="G28" s="23" t="s">
        <v>313</v>
      </c>
      <c r="H28" s="23" t="s">
        <v>313</v>
      </c>
      <c r="I28" s="23" t="s">
        <v>313</v>
      </c>
      <c r="J28" s="23" t="s">
        <v>313</v>
      </c>
      <c r="K28" s="23" t="s">
        <v>313</v>
      </c>
      <c r="L28" s="23" t="s">
        <v>313</v>
      </c>
      <c r="M28" s="23" t="s">
        <v>313</v>
      </c>
      <c r="N28" s="23" t="s">
        <v>313</v>
      </c>
      <c r="O28" s="23" t="s">
        <v>313</v>
      </c>
      <c r="P28" s="23" t="s">
        <v>313</v>
      </c>
      <c r="Q28" s="23" t="s">
        <v>200</v>
      </c>
      <c r="R28" s="23" t="s">
        <v>313</v>
      </c>
      <c r="S28" s="23" t="s">
        <v>313</v>
      </c>
      <c r="T28" s="23" t="s">
        <v>200</v>
      </c>
      <c r="U28" s="23" t="s">
        <v>313</v>
      </c>
      <c r="V28" s="23" t="s">
        <v>313</v>
      </c>
      <c r="W28" s="23" t="s">
        <v>313</v>
      </c>
      <c r="X28" s="23" t="s">
        <v>187</v>
      </c>
      <c r="Y28" s="23" t="s">
        <v>314</v>
      </c>
      <c r="Z28" s="23" t="s">
        <v>315</v>
      </c>
      <c r="AA28" s="23" t="s">
        <v>187</v>
      </c>
      <c r="AB28" s="23" t="s">
        <v>187</v>
      </c>
      <c r="AC28" s="23" t="s">
        <v>187</v>
      </c>
      <c r="AD28" s="23" t="s">
        <v>187</v>
      </c>
      <c r="AE28" s="23" t="s">
        <v>187</v>
      </c>
      <c r="AF28" s="23" t="s">
        <v>187</v>
      </c>
      <c r="AG28" s="23" t="s">
        <v>187</v>
      </c>
      <c r="AH28" s="23" t="s">
        <v>187</v>
      </c>
      <c r="AI28" s="23" t="s">
        <v>187</v>
      </c>
      <c r="AJ28" s="23" t="s">
        <v>187</v>
      </c>
      <c r="AK28" s="23" t="s">
        <v>187</v>
      </c>
      <c r="AL28" s="23" t="s">
        <v>187</v>
      </c>
      <c r="AM28" s="23" t="s">
        <v>187</v>
      </c>
      <c r="AN28" s="23" t="s">
        <v>187</v>
      </c>
      <c r="AO28" s="23" t="s">
        <v>316</v>
      </c>
      <c r="AP28" s="23" t="s">
        <v>187</v>
      </c>
      <c r="AQ28" s="23" t="s">
        <v>187</v>
      </c>
      <c r="AR28" s="23" t="s">
        <v>187</v>
      </c>
      <c r="AS28" s="23" t="s">
        <v>187</v>
      </c>
      <c r="AT28" s="23" t="s">
        <v>187</v>
      </c>
      <c r="AU28" s="23" t="s">
        <v>187</v>
      </c>
      <c r="AV28" s="23" t="s">
        <v>224</v>
      </c>
      <c r="AW28" s="23" t="s">
        <v>317</v>
      </c>
    </row>
    <row r="29" ht="15" customHeight="1" spans="1:49" x14ac:dyDescent="0.25">
      <c r="A29" s="23">
        <v>28</v>
      </c>
      <c r="B29" s="23" t="s">
        <v>185</v>
      </c>
      <c r="C29" s="23">
        <v>47</v>
      </c>
      <c r="D29" s="23" t="s">
        <v>318</v>
      </c>
      <c r="E29" s="23" t="s">
        <v>274</v>
      </c>
      <c r="F29" s="23" t="s">
        <v>274</v>
      </c>
      <c r="G29" s="23" t="s">
        <v>274</v>
      </c>
      <c r="H29" s="23" t="s">
        <v>188</v>
      </c>
      <c r="I29" s="23" t="s">
        <v>319</v>
      </c>
      <c r="J29" s="23" t="s">
        <v>188</v>
      </c>
      <c r="K29" s="23" t="s">
        <v>188</v>
      </c>
      <c r="L29" s="23" t="s">
        <v>274</v>
      </c>
      <c r="M29" s="23" t="s">
        <v>274</v>
      </c>
      <c r="N29" s="23" t="s">
        <v>188</v>
      </c>
      <c r="O29" s="23" t="s">
        <v>274</v>
      </c>
      <c r="P29" s="23" t="s">
        <v>189</v>
      </c>
      <c r="Q29" s="23" t="s">
        <v>200</v>
      </c>
      <c r="R29" s="23" t="s">
        <v>187</v>
      </c>
      <c r="S29" s="23" t="s">
        <v>187</v>
      </c>
      <c r="T29" s="23" t="s">
        <v>200</v>
      </c>
      <c r="U29" s="23" t="s">
        <v>191</v>
      </c>
      <c r="V29" s="23" t="s">
        <v>187</v>
      </c>
      <c r="W29" s="23" t="s">
        <v>187</v>
      </c>
      <c r="X29" s="23" t="s">
        <v>187</v>
      </c>
      <c r="Y29" s="23" t="s">
        <v>320</v>
      </c>
      <c r="Z29" s="23" t="s">
        <v>187</v>
      </c>
      <c r="AA29" s="23" t="s">
        <v>187</v>
      </c>
      <c r="AB29" s="23" t="s">
        <v>187</v>
      </c>
      <c r="AC29" s="23" t="s">
        <v>187</v>
      </c>
      <c r="AD29" s="23" t="s">
        <v>187</v>
      </c>
      <c r="AE29" s="23" t="s">
        <v>187</v>
      </c>
      <c r="AF29" s="23" t="s">
        <v>187</v>
      </c>
      <c r="AG29" s="23" t="s">
        <v>187</v>
      </c>
      <c r="AH29" s="23" t="s">
        <v>187</v>
      </c>
      <c r="AI29" s="23" t="s">
        <v>187</v>
      </c>
      <c r="AJ29" s="23" t="s">
        <v>187</v>
      </c>
      <c r="AK29" s="23" t="s">
        <v>187</v>
      </c>
      <c r="AL29" s="23" t="s">
        <v>187</v>
      </c>
      <c r="AM29" s="23" t="s">
        <v>187</v>
      </c>
      <c r="AN29" s="23" t="s">
        <v>187</v>
      </c>
      <c r="AO29" s="23" t="s">
        <v>187</v>
      </c>
      <c r="AP29" s="23" t="s">
        <v>187</v>
      </c>
      <c r="AQ29" s="23" t="s">
        <v>187</v>
      </c>
      <c r="AR29" s="23" t="s">
        <v>187</v>
      </c>
      <c r="AS29" s="23" t="s">
        <v>187</v>
      </c>
      <c r="AT29" s="23" t="s">
        <v>187</v>
      </c>
      <c r="AU29" s="23" t="s">
        <v>187</v>
      </c>
      <c r="AV29" s="23" t="s">
        <v>224</v>
      </c>
      <c r="AW29" s="23" t="s">
        <v>321</v>
      </c>
    </row>
    <row r="30" ht="15" customHeight="1" spans="1:49" x14ac:dyDescent="0.25">
      <c r="A30" s="23">
        <v>29</v>
      </c>
      <c r="B30" s="23" t="s">
        <v>185</v>
      </c>
      <c r="C30" s="23">
        <v>56</v>
      </c>
      <c r="D30" s="23" t="s">
        <v>186</v>
      </c>
      <c r="E30" s="23" t="s">
        <v>274</v>
      </c>
      <c r="F30" s="23" t="s">
        <v>274</v>
      </c>
      <c r="G30" s="23" t="s">
        <v>274</v>
      </c>
      <c r="H30" s="23" t="s">
        <v>188</v>
      </c>
      <c r="I30" s="23" t="s">
        <v>274</v>
      </c>
      <c r="J30" s="23" t="s">
        <v>274</v>
      </c>
      <c r="K30" s="23" t="s">
        <v>274</v>
      </c>
      <c r="L30" s="23" t="s">
        <v>274</v>
      </c>
      <c r="M30" s="23" t="s">
        <v>274</v>
      </c>
      <c r="N30" s="23" t="s">
        <v>274</v>
      </c>
      <c r="O30" s="23" t="s">
        <v>274</v>
      </c>
      <c r="P30" s="23" t="s">
        <v>189</v>
      </c>
      <c r="Q30" s="23" t="s">
        <v>187</v>
      </c>
      <c r="R30" s="23" t="s">
        <v>187</v>
      </c>
      <c r="S30" s="23" t="s">
        <v>187</v>
      </c>
      <c r="T30" s="23" t="s">
        <v>187</v>
      </c>
      <c r="U30" s="23" t="s">
        <v>187</v>
      </c>
      <c r="V30" s="23" t="s">
        <v>187</v>
      </c>
      <c r="W30" s="23" t="s">
        <v>187</v>
      </c>
      <c r="X30" s="23" t="s">
        <v>187</v>
      </c>
      <c r="Y30" s="23" t="s">
        <v>187</v>
      </c>
      <c r="Z30" s="23" t="s">
        <v>322</v>
      </c>
      <c r="AA30" s="23" t="s">
        <v>187</v>
      </c>
      <c r="AB30" s="23" t="s">
        <v>187</v>
      </c>
      <c r="AC30" s="23" t="s">
        <v>187</v>
      </c>
      <c r="AD30" s="23" t="s">
        <v>187</v>
      </c>
      <c r="AE30" s="23" t="s">
        <v>187</v>
      </c>
      <c r="AF30" s="23" t="s">
        <v>187</v>
      </c>
      <c r="AG30" s="23" t="s">
        <v>187</v>
      </c>
      <c r="AH30" s="23" t="s">
        <v>187</v>
      </c>
      <c r="AI30" s="23" t="s">
        <v>187</v>
      </c>
      <c r="AJ30" s="23" t="s">
        <v>187</v>
      </c>
      <c r="AK30" s="23" t="s">
        <v>187</v>
      </c>
      <c r="AL30" s="23" t="s">
        <v>187</v>
      </c>
      <c r="AM30" s="23" t="s">
        <v>187</v>
      </c>
      <c r="AN30" s="23" t="s">
        <v>187</v>
      </c>
      <c r="AO30" s="23" t="s">
        <v>187</v>
      </c>
      <c r="AP30" s="23" t="s">
        <v>187</v>
      </c>
      <c r="AQ30" s="23" t="s">
        <v>187</v>
      </c>
      <c r="AR30" s="23" t="s">
        <v>187</v>
      </c>
      <c r="AS30" s="23" t="s">
        <v>187</v>
      </c>
      <c r="AT30" s="23" t="s">
        <v>187</v>
      </c>
      <c r="AU30" s="23" t="s">
        <v>187</v>
      </c>
      <c r="AV30" s="23" t="s">
        <v>194</v>
      </c>
      <c r="AW30" s="23" t="s">
        <v>323</v>
      </c>
    </row>
    <row r="31" ht="15" customHeight="1" spans="1:49" x14ac:dyDescent="0.25">
      <c r="A31" s="23">
        <v>30</v>
      </c>
      <c r="B31" s="23" t="s">
        <v>195</v>
      </c>
      <c r="C31" s="23">
        <v>55</v>
      </c>
      <c r="D31" s="23" t="s">
        <v>280</v>
      </c>
      <c r="E31" s="23" t="s">
        <v>274</v>
      </c>
      <c r="F31" s="23" t="s">
        <v>188</v>
      </c>
      <c r="G31" s="23" t="s">
        <v>188</v>
      </c>
      <c r="H31" s="23" t="s">
        <v>274</v>
      </c>
      <c r="I31" s="23" t="s">
        <v>274</v>
      </c>
      <c r="J31" s="23" t="s">
        <v>274</v>
      </c>
      <c r="K31" s="23" t="s">
        <v>274</v>
      </c>
      <c r="L31" s="23" t="s">
        <v>274</v>
      </c>
      <c r="M31" s="23" t="s">
        <v>274</v>
      </c>
      <c r="N31" s="23" t="s">
        <v>274</v>
      </c>
      <c r="O31" s="23" t="s">
        <v>188</v>
      </c>
      <c r="P31" s="23" t="s">
        <v>189</v>
      </c>
      <c r="Q31" s="23" t="s">
        <v>187</v>
      </c>
      <c r="R31" s="23" t="s">
        <v>187</v>
      </c>
      <c r="S31" s="23" t="s">
        <v>187</v>
      </c>
      <c r="T31" s="23" t="s">
        <v>187</v>
      </c>
      <c r="U31" s="23" t="s">
        <v>187</v>
      </c>
      <c r="V31" s="23" t="s">
        <v>187</v>
      </c>
      <c r="W31" s="23" t="s">
        <v>187</v>
      </c>
      <c r="X31" s="23" t="s">
        <v>187</v>
      </c>
      <c r="Y31" s="23" t="s">
        <v>187</v>
      </c>
      <c r="Z31" s="23" t="s">
        <v>324</v>
      </c>
      <c r="AA31" s="23" t="s">
        <v>187</v>
      </c>
      <c r="AB31" s="23" t="s">
        <v>187</v>
      </c>
      <c r="AC31" s="23" t="s">
        <v>187</v>
      </c>
      <c r="AD31" s="23" t="s">
        <v>187</v>
      </c>
      <c r="AE31" s="23" t="s">
        <v>187</v>
      </c>
      <c r="AF31" s="23" t="s">
        <v>187</v>
      </c>
      <c r="AG31" s="23" t="s">
        <v>187</v>
      </c>
      <c r="AH31" s="23" t="s">
        <v>187</v>
      </c>
      <c r="AI31" s="23" t="s">
        <v>187</v>
      </c>
      <c r="AJ31" s="23" t="s">
        <v>187</v>
      </c>
      <c r="AK31" s="23" t="s">
        <v>187</v>
      </c>
      <c r="AL31" s="23" t="s">
        <v>187</v>
      </c>
      <c r="AM31" s="23" t="s">
        <v>187</v>
      </c>
      <c r="AN31" s="23" t="s">
        <v>187</v>
      </c>
      <c r="AO31" s="23" t="s">
        <v>187</v>
      </c>
      <c r="AP31" s="23" t="s">
        <v>187</v>
      </c>
      <c r="AQ31" s="23" t="s">
        <v>187</v>
      </c>
      <c r="AR31" s="23" t="s">
        <v>187</v>
      </c>
      <c r="AS31" s="23" t="s">
        <v>187</v>
      </c>
      <c r="AT31" s="23" t="s">
        <v>187</v>
      </c>
      <c r="AU31" s="23" t="s">
        <v>187</v>
      </c>
      <c r="AV31" s="23" t="s">
        <v>194</v>
      </c>
      <c r="AW31" s="23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cases</vt:lpstr>
      <vt:lpstr>Quick stats</vt:lpstr>
      <vt:lpstr>Original (her text)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2026-10-27T15:37:20Z</dcterms:created>
  <dcterms:modified xsi:type="dcterms:W3CDTF">2026-10-27T15:37:20Z</dcterms:modified>
</cp:coreProperties>
</file>